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3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4\BOM\"/>
    </mc:Choice>
  </mc:AlternateContent>
  <xr:revisionPtr revIDLastSave="0" documentId="13_ncr:1_{912B4A5B-94F6-4417-B01D-1ACDADFA1686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31" i="1" l="1"/>
  <c r="B32" i="1"/>
  <c r="B33" i="1"/>
  <c r="B34" i="1"/>
  <c r="B35" i="1"/>
  <c r="B36" i="1"/>
  <c r="B30" i="1" l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<sst xmlns="http://schemas.openxmlformats.org/spreadsheetml/2006/main" count="261" uniqueCount="156">
  <si>
    <t>#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</si>
  <si>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</si>
  <si>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</si>
  <si>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</si>
  <si>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</si>
  <si>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</si>
  <si>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</si>
  <si>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</si>
  <si>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</si>
  <si>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LED</t>
  </si>
  <si>
    <t>RGB LED</t>
  </si>
  <si>
    <t>Mosfet</t>
  </si>
  <si>
    <t>Resistor</t>
  </si>
  <si>
    <t>Tactile Switch</t>
  </si>
  <si>
    <t>Module</t>
  </si>
  <si>
    <t>IC</t>
  </si>
  <si>
    <t>Designator</t>
  </si>
  <si>
    <t>C1, C3, C7, C13, C20</t>
  </si>
  <si>
    <t>C2</t>
  </si>
  <si>
    <t>C4</t>
  </si>
  <si>
    <t>C5, C8, C10, C11, C12, C14, C15, C16, C17, C18, C19, C21, C22, C23</t>
  </si>
  <si>
    <t>C6</t>
  </si>
  <si>
    <t>C9</t>
  </si>
  <si>
    <t>D1</t>
  </si>
  <si>
    <t>F1</t>
  </si>
  <si>
    <t>FB1</t>
  </si>
  <si>
    <t>J1</t>
  </si>
  <si>
    <t>J2</t>
  </si>
  <si>
    <t>J3</t>
  </si>
  <si>
    <t>LED2</t>
  </si>
  <si>
    <t>LED4, LED5, LED6, LED7, LED8, LED9</t>
  </si>
  <si>
    <t>Q1</t>
  </si>
  <si>
    <t>Q2</t>
  </si>
  <si>
    <t>R1</t>
  </si>
  <si>
    <t>R3</t>
  </si>
  <si>
    <t>R4, R6, R9, R10, R13, R14</t>
  </si>
  <si>
    <t>R5, R12</t>
  </si>
  <si>
    <t>R7</t>
  </si>
  <si>
    <t>R15</t>
  </si>
  <si>
    <t>SW1, SW2</t>
  </si>
  <si>
    <t>SW3</t>
  </si>
  <si>
    <t>SW4</t>
  </si>
  <si>
    <t>U1</t>
  </si>
  <si>
    <t>U2</t>
  </si>
  <si>
    <t>U3</t>
  </si>
  <si>
    <t>Description</t>
  </si>
  <si>
    <t>CAP CER 1UF 25V X5R 0603</t>
  </si>
  <si>
    <t>CAP CER 0.1UF 25V X5R 0402</t>
  </si>
  <si>
    <t>CAP CER 10UF 16V X5R 0603</t>
  </si>
  <si>
    <t>TVS DIODE 5VWM 6.3VC DSN0603-2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</si>
  <si>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</si>
  <si>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</si>
  <si>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</si>
  <si>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</si>
  <si>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</si>
  <si>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0603 Light Emitting Diodes (LED) ROHS</t>
  </si>
  <si>
    <t>SMD5050 Light Emitting Diodes (LED) ROHS</t>
  </si>
  <si>
    <t>N-CHANNEL 20-V (D-S) MOSFET</t>
  </si>
  <si>
    <t>Trans Mosfet P-ch 30V 4A 3-PIN SOT-23 T/r</t>
  </si>
  <si>
    <t>RES SMD 10K Ohm 1% 1/10W 0603</t>
  </si>
  <si>
    <t>RES 56K OHM 1% 1/16W 0402</t>
  </si>
  <si>
    <t>RES 100K OHM 5% 1/10W 0603</t>
  </si>
  <si>
    <t>RES  SMD 330R 100 mW 0603</t>
  </si>
  <si>
    <t>RES SMD 1K OHM 1% 1/10W 0603</t>
  </si>
  <si>
    <t>50mA Brick nogging SPST 100MΩ 1000000 times 250gf@±30gf 12V SMD Tactile Switches ROHS</t>
  </si>
  <si>
    <t>No NO 50mA 100MΩ 100000 Times 12V 130gf@±30gf Brick nogging SPST SMD Tactile Switches ROHS</t>
  </si>
  <si>
    <t>50mA Lying SPST 24V Plugin Tactile Switches ROHS</t>
  </si>
  <si>
    <t>ESOP-8 Battery Management ICs ROHS</t>
  </si>
  <si>
    <t>RF TXRX MODULE BT PCB TRACE SMD</t>
  </si>
  <si>
    <t>500-MA, LOW-NOISE, LOW-IQ, HIGH</t>
  </si>
  <si>
    <t>Footprint</t>
  </si>
  <si>
    <t>Cap-0603</t>
  </si>
  <si>
    <t>Cap-0402</t>
  </si>
  <si>
    <t>DSN0603-2</t>
  </si>
  <si>
    <t>Fuse-0805</t>
  </si>
  <si>
    <t>IND-0603 (1608 Metric)</t>
  </si>
  <si>
    <t>DC-0360-2.5</t>
  </si>
  <si>
    <t>1.25-2PWB</t>
  </si>
  <si>
    <t>LED-0603</t>
  </si>
  <si>
    <t>WS2812B-XF02/W</t>
  </si>
  <si>
    <t>Sot-23</t>
  </si>
  <si>
    <t>SOT-23</t>
  </si>
  <si>
    <t>Res-0603</t>
  </si>
  <si>
    <t>Res-0402</t>
  </si>
  <si>
    <t>K2-6639SP-C4SC-04</t>
  </si>
  <si>
    <t>GT-TC074E-H080-L1</t>
  </si>
  <si>
    <t>1825027-8</t>
  </si>
  <si>
    <t>ESOP-8</t>
  </si>
  <si>
    <t>38-SMD Module</t>
  </si>
  <si>
    <t>4-WCSP (0.63x0.63)</t>
  </si>
  <si>
    <t>Manufacturer Part Number</t>
  </si>
  <si>
    <t>CC0603KRX5R8BB105</t>
  </si>
  <si>
    <t>CC0402KRX5R8BB104</t>
  </si>
  <si>
    <t>CC0603KRX5R7BB106</t>
  </si>
  <si>
    <t>PESD5V0H1BSFYL</t>
  </si>
  <si>
    <t>BSMD0805L-200</t>
  </si>
  <si>
    <t>BLM18SG121TN1D</t>
  </si>
  <si>
    <t>C145963</t>
  </si>
  <si>
    <t>NCD0603R3</t>
  </si>
  <si>
    <t>SI2302CDS</t>
  </si>
  <si>
    <t>AO3401A</t>
  </si>
  <si>
    <t>RC0603FR-0710KL</t>
  </si>
  <si>
    <t>RC0402FR-0756KL</t>
  </si>
  <si>
    <t>RC0603JR-07100KL</t>
  </si>
  <si>
    <t>RC0603JR-07330RL</t>
  </si>
  <si>
    <t>RC0603FR-071KL</t>
  </si>
  <si>
    <t>TP4056-42-ESOP8</t>
  </si>
  <si>
    <t>ESP32-WROOM-32E-N8R2</t>
  </si>
  <si>
    <t>TPS7A2133PYWDJ</t>
  </si>
  <si>
    <t>Manufacturer</t>
  </si>
  <si>
    <t>Yageo</t>
  </si>
  <si>
    <t>Nexperia</t>
  </si>
  <si>
    <t>BHFUSE</t>
  </si>
  <si>
    <t>Murata</t>
  </si>
  <si>
    <t>XKB Connectivity</t>
  </si>
  <si>
    <t>DEALON</t>
  </si>
  <si>
    <t>BOOMELE</t>
  </si>
  <si>
    <t>Foshan NationStar Optoelectronics</t>
  </si>
  <si>
    <t>Worldsemi</t>
  </si>
  <si>
    <t>TECH PUBLIC</t>
  </si>
  <si>
    <t>Alpha &amp; Omega Semiconductor</t>
  </si>
  <si>
    <t>Korean Hroparts Elec</t>
  </si>
  <si>
    <t>G-Switch</t>
  </si>
  <si>
    <t>TE Connectivity</t>
  </si>
  <si>
    <t>TOPPOWER</t>
  </si>
  <si>
    <t>Espressif Systems</t>
  </si>
  <si>
    <t>Texas Instruments</t>
  </si>
  <si>
    <t>1uF</t>
  </si>
  <si>
    <t>DNP</t>
  </si>
  <si>
    <t>100nF</t>
  </si>
  <si>
    <t>10uF</t>
  </si>
  <si>
    <t>10K</t>
  </si>
  <si>
    <t>1K</t>
  </si>
  <si>
    <t>Quantity</t>
  </si>
  <si>
    <t>value</t>
  </si>
  <si>
    <t>-</t>
  </si>
  <si>
    <t>Remarks</t>
  </si>
  <si>
    <t>Custom</t>
  </si>
  <si>
    <t>Battery</t>
  </si>
  <si>
    <t>Peripheral</t>
  </si>
  <si>
    <t>3.7V 250mAh 402035 JST 1.25mm lithium polymer li ion rechargeable battery Lipo cells for MP3 MP4 GPS bluetooth headset video pen</t>
  </si>
  <si>
    <t>Aliexpress</t>
  </si>
  <si>
    <t>Adaptor</t>
  </si>
  <si>
    <t>Black universal American Canada Japan power charger 100-240V US AC to DC 5.5*2.5mm power adapter 1A 3V/5V/6V/7V/9V/12V optional</t>
  </si>
  <si>
    <t xml:space="preserve">Programmer </t>
  </si>
  <si>
    <t>VoltLink CP2102N USB Serial Adapter &amp; Programmer</t>
  </si>
  <si>
    <t>Tinde</t>
  </si>
  <si>
    <t>Screws</t>
  </si>
  <si>
    <t>(M2 Screw thread  length 4mm)</t>
  </si>
  <si>
    <t>M2 (4mm)</t>
  </si>
  <si>
    <t>(M2 Screw thread Lentgh 5mm)</t>
  </si>
  <si>
    <t>M2 (5mm)</t>
  </si>
  <si>
    <t>(M2 Screw Thread Lentgh 6mm)</t>
  </si>
  <si>
    <t>M2 (6mm)</t>
  </si>
  <si>
    <t>Links</t>
  </si>
  <si>
    <t>DO NOT POPULATE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</si>
</sst>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8" fillId="2" borderId="15" xfId="1" applyFill="1" applyBorder="1" applyAlignment="1">
      <alignment horizontal="center" vertical="center" wrapText="1"/>
    </xf>
    <xf numFmtId="0" fontId="8" fillId="2" borderId="7" xfId="1" applyFill="1" applyBorder="1" applyAlignment="1">
      <alignment horizontal="center" vertical="center" wrapText="1"/>
    </xf>
    <xf numFmtId="0" fontId="8" fillId="2" borderId="13" xfId="1" applyFill="1" applyBorder="1" applyAlignment="1">
      <alignment horizontal="center" vertical="center" wrapText="1"/>
    </xf>
    <xf numFmtId="0" fontId="8" fillId="2" borderId="14" xfId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 wrapText="1"/>
    </xf>
    <xf numFmtId="0" fontId="4" fillId="2" borderId="7" xfId="0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vertical="center" wrapText="1"/>
    </xf>
    <xf numFmtId="0" fontId="4" fillId="2" borderId="16" xfId="0" applyFont="1" applyFill="1" applyBorder="1" applyAlignment="1">
      <alignment horizontal="center" wrapText="1"/>
    </xf>
    <xf numFmtId="0" fontId="9" fillId="2" borderId="6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indie.com/products/voltlog/voltlink-cp2102n-usb-serial-adapter-programmer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1005003745895927.html" TargetMode="External"/><Relationship Id="rId1" Type="http://schemas.openxmlformats.org/officeDocument/2006/relationships/hyperlink" Target="https://vi.aliexpress.com/item/32840666810.html" TargetMode="External"/><Relationship Id="rId6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5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4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33" sqref="G33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7.85546875" customWidth="1"/>
    <col min="11" max="11" width="16.7109375" bestFit="1" customWidth="1"/>
    <col min="12" max="12" width="29.42578125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  <c r="L1" s="14"/>
    </row>
    <row r="2" spans="1:12" ht="15.75" thickBot="1" x14ac:dyDescent="0.3">
      <c r="A2" s="1"/>
      <c r="B2" s="5" t="s">
        <v>0</v>
      </c>
      <c r="C2" s="5" t="s">
        <v>1</v>
      </c>
      <c r="D2" s="5" t="s">
        <v>16</v>
      </c>
      <c r="E2" s="6" t="s">
        <v>45</v>
      </c>
      <c r="F2" s="5" t="s">
        <v>70</v>
      </c>
      <c r="G2" s="6" t="s">
        <v>90</v>
      </c>
      <c r="H2" s="5" t="s">
        <v>109</v>
      </c>
      <c r="I2" s="6" t="s">
        <v>134</v>
      </c>
      <c r="J2" s="5" t="s">
        <v>154</v>
      </c>
      <c r="K2" s="22" t="s">
        <v>133</v>
      </c>
      <c r="L2" s="5" t="s">
        <v>136</v>
      </c>
    </row>
    <row r="3" spans="1:12" ht="15.75" thickBot="1" x14ac:dyDescent="0.3">
      <c r="A3" s="1"/>
      <c r="B3" s="11">
        <f>ROW(B3) - ROW($B$2)</f>
        <v>1</v>
      </c>
      <c r="C3" s="12" t="s">
        <v>2</v>
      </c>
      <c r="D3" s="7" t="s">
        <v>17</v>
      </c>
      <c r="E3" s="8" t="s">
        <v>46</v>
      </c>
      <c r="F3" s="7" t="s">
        <v>71</v>
      </c>
      <c r="G3" s="8" t="s">
        <v>91</v>
      </c>
      <c r="H3" s="7" t="s">
        <v>110</v>
      </c>
      <c r="I3" s="8" t="s">
        <v>127</v>
      </c>
      <c r="J3" s="7"/>
      <c r="K3" s="23">
        <v>5</v>
      </c>
      <c r="L3" s="45"/>
    </row>
    <row r="4" spans="1:12" ht="15.75" thickBot="1" x14ac:dyDescent="0.3">
      <c r="A4" s="1"/>
      <c r="B4" s="11">
        <f t="shared" ref="B4:B36" si="0">ROW(B4) - ROW($B$2)</f>
        <v>2</v>
      </c>
      <c r="C4" s="13" t="s">
        <v>2</v>
      </c>
      <c r="D4" s="15" t="s">
        <v>18</v>
      </c>
      <c r="E4" s="16" t="s">
        <v>47</v>
      </c>
      <c r="F4" s="15" t="s">
        <v>72</v>
      </c>
      <c r="G4" s="16" t="s">
        <v>92</v>
      </c>
      <c r="H4" s="15" t="s">
        <v>110</v>
      </c>
      <c r="I4" s="16" t="s">
        <v>128</v>
      </c>
      <c r="J4" s="15"/>
      <c r="K4" s="24">
        <v>1</v>
      </c>
      <c r="L4" s="19" t="s">
        <v>155</v>
      </c>
    </row>
    <row r="5" spans="1:12" ht="15.75" thickBot="1" x14ac:dyDescent="0.3">
      <c r="A5" s="1"/>
      <c r="B5" s="11">
        <f>ROW(B5) - ROW($B$2)</f>
        <v>3</v>
      </c>
      <c r="C5" s="12" t="s">
        <v>2</v>
      </c>
      <c r="D5" s="17" t="s">
        <v>19</v>
      </c>
      <c r="E5" s="18" t="s">
        <v>46</v>
      </c>
      <c r="F5" s="17" t="s">
        <v>71</v>
      </c>
      <c r="G5" s="18" t="s">
        <v>91</v>
      </c>
      <c r="H5" s="17" t="s">
        <v>110</v>
      </c>
      <c r="I5" s="18" t="s">
        <v>128</v>
      </c>
      <c r="J5" s="17"/>
      <c r="K5" s="25">
        <v>1</v>
      </c>
      <c r="L5" s="19" t="s">
        <v>155</v>
      </c>
    </row>
    <row r="6" spans="1:12" ht="24.75" thickBot="1" x14ac:dyDescent="0.3">
      <c r="A6" s="1"/>
      <c r="B6" s="11">
        <f t="shared" si="0"/>
        <v>4</v>
      </c>
      <c r="C6" s="13" t="s">
        <v>2</v>
      </c>
      <c r="D6" s="9" t="s">
        <v>20</v>
      </c>
      <c r="E6" s="10" t="s">
        <v>47</v>
      </c>
      <c r="F6" s="9" t="s">
        <v>72</v>
      </c>
      <c r="G6" s="10" t="s">
        <v>92</v>
      </c>
      <c r="H6" s="9" t="s">
        <v>110</v>
      </c>
      <c r="I6" s="10" t="s">
        <v>129</v>
      </c>
      <c r="J6" s="9"/>
      <c r="K6" s="26">
        <v>14</v>
      </c>
      <c r="L6" s="19"/>
    </row>
    <row r="7" spans="1:12" ht="15.75" thickBot="1" x14ac:dyDescent="0.3">
      <c r="A7" s="1"/>
      <c r="B7" s="11">
        <f>ROW(B7) - ROW($B$2)</f>
        <v>5</v>
      </c>
      <c r="C7" s="12" t="s">
        <v>2</v>
      </c>
      <c r="D7" s="7" t="s">
        <v>21</v>
      </c>
      <c r="E7" s="8" t="s">
        <v>48</v>
      </c>
      <c r="F7" s="7" t="s">
        <v>71</v>
      </c>
      <c r="G7" s="8" t="s">
        <v>93</v>
      </c>
      <c r="H7" s="7" t="s">
        <v>110</v>
      </c>
      <c r="I7" s="8" t="s">
        <v>130</v>
      </c>
      <c r="J7" s="7"/>
      <c r="K7" s="23">
        <v>1</v>
      </c>
      <c r="L7" s="45"/>
    </row>
    <row r="8" spans="1:12" ht="15.75" thickBot="1" x14ac:dyDescent="0.3">
      <c r="A8" s="1"/>
      <c r="B8" s="11">
        <f t="shared" si="0"/>
        <v>6</v>
      </c>
      <c r="C8" s="13" t="s">
        <v>2</v>
      </c>
      <c r="D8" s="9" t="s">
        <v>22</v>
      </c>
      <c r="E8" s="10" t="s">
        <v>48</v>
      </c>
      <c r="F8" s="9" t="s">
        <v>71</v>
      </c>
      <c r="G8" s="10" t="s">
        <v>93</v>
      </c>
      <c r="H8" s="9" t="s">
        <v>110</v>
      </c>
      <c r="I8" s="10" t="s">
        <v>128</v>
      </c>
      <c r="J8" s="9"/>
      <c r="K8" s="26">
        <v>1</v>
      </c>
      <c r="L8" s="19" t="s">
        <v>155</v>
      </c>
    </row>
    <row r="9" spans="1:12" ht="15.75" thickBot="1" x14ac:dyDescent="0.3">
      <c r="A9" s="1"/>
      <c r="B9" s="11">
        <f>ROW(B9) - ROW($B$2)</f>
        <v>7</v>
      </c>
      <c r="C9" s="12" t="s">
        <v>3</v>
      </c>
      <c r="D9" s="7" t="s">
        <v>23</v>
      </c>
      <c r="E9" s="8" t="s">
        <v>49</v>
      </c>
      <c r="F9" s="7" t="s">
        <v>73</v>
      </c>
      <c r="G9" s="8" t="s">
        <v>94</v>
      </c>
      <c r="H9" s="7" t="s">
        <v>111</v>
      </c>
      <c r="I9" s="8" t="s">
        <v>135</v>
      </c>
      <c r="J9" s="7"/>
      <c r="K9" s="23">
        <v>1</v>
      </c>
      <c r="L9" s="45"/>
    </row>
    <row r="10" spans="1:12" ht="24.75" thickBot="1" x14ac:dyDescent="0.3">
      <c r="A10" s="1"/>
      <c r="B10" s="11">
        <f t="shared" si="0"/>
        <v>8</v>
      </c>
      <c r="C10" s="13" t="s">
        <v>4</v>
      </c>
      <c r="D10" s="9" t="s">
        <v>24</v>
      </c>
      <c r="E10" s="10" t="s">
        <v>50</v>
      </c>
      <c r="F10" s="9" t="s">
        <v>74</v>
      </c>
      <c r="G10" s="10" t="s">
        <v>95</v>
      </c>
      <c r="H10" s="9" t="s">
        <v>112</v>
      </c>
      <c r="I10" s="8" t="s">
        <v>135</v>
      </c>
      <c r="J10" s="7"/>
      <c r="K10" s="26">
        <v>1</v>
      </c>
      <c r="L10" s="19"/>
    </row>
    <row r="11" spans="1:12" ht="15.75" thickBot="1" x14ac:dyDescent="0.3">
      <c r="A11" s="1"/>
      <c r="B11" s="11">
        <f>ROW(B11) - ROW($B$2)</f>
        <v>9</v>
      </c>
      <c r="C11" s="12" t="s">
        <v>5</v>
      </c>
      <c r="D11" s="7" t="s">
        <v>25</v>
      </c>
      <c r="E11" s="8" t="s">
        <v>51</v>
      </c>
      <c r="F11" s="7" t="s">
        <v>75</v>
      </c>
      <c r="G11" s="8" t="s">
        <v>96</v>
      </c>
      <c r="H11" s="7" t="s">
        <v>113</v>
      </c>
      <c r="I11" s="8" t="s">
        <v>135</v>
      </c>
      <c r="J11" s="7"/>
      <c r="K11" s="23">
        <v>1</v>
      </c>
      <c r="L11" s="45"/>
    </row>
    <row r="12" spans="1:12" ht="48.75" thickBot="1" x14ac:dyDescent="0.3">
      <c r="A12" s="1"/>
      <c r="B12" s="11">
        <f t="shared" si="0"/>
        <v>10</v>
      </c>
      <c r="C12" s="13" t="s">
        <v>6</v>
      </c>
      <c r="D12" s="9" t="s">
        <v>26</v>
      </c>
      <c r="E12" s="10" t="s">
        <v>52</v>
      </c>
      <c r="F12" s="9" t="s">
        <v>137</v>
      </c>
      <c r="G12" s="10" t="s">
        <v>76</v>
      </c>
      <c r="H12" s="9" t="s">
        <v>114</v>
      </c>
      <c r="I12" s="8" t="s">
        <v>135</v>
      </c>
      <c r="J12" s="7"/>
      <c r="K12" s="26">
        <v>1</v>
      </c>
      <c r="L12" s="19"/>
    </row>
    <row r="13" spans="1:12" ht="48.75" thickBot="1" x14ac:dyDescent="0.3">
      <c r="A13" s="1"/>
      <c r="B13" s="11">
        <f>ROW(B13) - ROW($B$2)</f>
        <v>11</v>
      </c>
      <c r="C13" s="12" t="s">
        <v>7</v>
      </c>
      <c r="D13" s="17" t="s">
        <v>27</v>
      </c>
      <c r="E13" s="18" t="s">
        <v>53</v>
      </c>
      <c r="F13" s="17" t="s">
        <v>77</v>
      </c>
      <c r="G13" s="18" t="s">
        <v>77</v>
      </c>
      <c r="H13" s="17" t="s">
        <v>115</v>
      </c>
      <c r="I13" s="18" t="s">
        <v>128</v>
      </c>
      <c r="J13" s="17"/>
      <c r="K13" s="25">
        <v>1</v>
      </c>
      <c r="L13" s="45" t="s">
        <v>155</v>
      </c>
    </row>
    <row r="14" spans="1:12" ht="36.75" thickBot="1" x14ac:dyDescent="0.3">
      <c r="A14" s="1"/>
      <c r="B14" s="11">
        <f t="shared" si="0"/>
        <v>12</v>
      </c>
      <c r="C14" s="13" t="s">
        <v>8</v>
      </c>
      <c r="D14" s="9" t="s">
        <v>28</v>
      </c>
      <c r="E14" s="10" t="s">
        <v>54</v>
      </c>
      <c r="F14" s="9" t="s">
        <v>137</v>
      </c>
      <c r="G14" s="10" t="s">
        <v>97</v>
      </c>
      <c r="H14" s="9" t="s">
        <v>116</v>
      </c>
      <c r="I14" s="10" t="s">
        <v>135</v>
      </c>
      <c r="J14" s="9"/>
      <c r="K14" s="26">
        <v>1</v>
      </c>
      <c r="L14" s="19"/>
    </row>
    <row r="15" spans="1:12" ht="24.75" thickBot="1" x14ac:dyDescent="0.3">
      <c r="A15" s="1"/>
      <c r="B15" s="11">
        <f>ROW(B15) - ROW($B$2)</f>
        <v>13</v>
      </c>
      <c r="C15" s="12" t="s">
        <v>9</v>
      </c>
      <c r="D15" s="17" t="s">
        <v>29</v>
      </c>
      <c r="E15" s="18" t="s">
        <v>55</v>
      </c>
      <c r="F15" s="17" t="s">
        <v>78</v>
      </c>
      <c r="G15" s="18" t="s">
        <v>98</v>
      </c>
      <c r="H15" s="17" t="s">
        <v>117</v>
      </c>
      <c r="I15" s="18" t="s">
        <v>128</v>
      </c>
      <c r="J15" s="17"/>
      <c r="K15" s="25">
        <v>1</v>
      </c>
      <c r="L15" s="44" t="s">
        <v>155</v>
      </c>
    </row>
    <row r="16" spans="1:12" ht="24.75" thickBot="1" x14ac:dyDescent="0.3">
      <c r="A16" s="1"/>
      <c r="B16" s="11">
        <f t="shared" si="0"/>
        <v>14</v>
      </c>
      <c r="C16" s="13" t="s">
        <v>10</v>
      </c>
      <c r="D16" s="9" t="s">
        <v>30</v>
      </c>
      <c r="E16" s="10" t="s">
        <v>56</v>
      </c>
      <c r="F16" s="9" t="s">
        <v>137</v>
      </c>
      <c r="G16" s="10" t="s">
        <v>79</v>
      </c>
      <c r="H16" s="9" t="s">
        <v>118</v>
      </c>
      <c r="I16" s="10" t="s">
        <v>135</v>
      </c>
      <c r="J16" s="9"/>
      <c r="K16" s="26">
        <v>6</v>
      </c>
      <c r="L16" s="19"/>
    </row>
    <row r="17" spans="1:12" ht="15.75" thickBot="1" x14ac:dyDescent="0.3">
      <c r="A17" s="1"/>
      <c r="B17" s="11">
        <f>ROW(B17) - ROW($B$2)</f>
        <v>15</v>
      </c>
      <c r="C17" s="12" t="s">
        <v>11</v>
      </c>
      <c r="D17" s="7" t="s">
        <v>31</v>
      </c>
      <c r="E17" s="8" t="s">
        <v>57</v>
      </c>
      <c r="F17" s="7" t="s">
        <v>80</v>
      </c>
      <c r="G17" s="8" t="s">
        <v>99</v>
      </c>
      <c r="H17" s="7" t="s">
        <v>119</v>
      </c>
      <c r="I17" s="10" t="s">
        <v>135</v>
      </c>
      <c r="J17" s="7"/>
      <c r="K17" s="23">
        <v>1</v>
      </c>
      <c r="L17" s="45"/>
    </row>
    <row r="18" spans="1:12" ht="24.75" thickBot="1" x14ac:dyDescent="0.3">
      <c r="A18" s="1"/>
      <c r="B18" s="11">
        <f t="shared" si="0"/>
        <v>16</v>
      </c>
      <c r="C18" s="13" t="s">
        <v>11</v>
      </c>
      <c r="D18" s="15" t="s">
        <v>32</v>
      </c>
      <c r="E18" s="16" t="s">
        <v>58</v>
      </c>
      <c r="F18" s="15" t="s">
        <v>81</v>
      </c>
      <c r="G18" s="16" t="s">
        <v>100</v>
      </c>
      <c r="H18" s="15" t="s">
        <v>120</v>
      </c>
      <c r="I18" s="16" t="s">
        <v>128</v>
      </c>
      <c r="J18" s="15"/>
      <c r="K18" s="24">
        <v>1</v>
      </c>
      <c r="L18" s="19" t="s">
        <v>155</v>
      </c>
    </row>
    <row r="19" spans="1:12" ht="15.75" thickBot="1" x14ac:dyDescent="0.3">
      <c r="A19" s="1"/>
      <c r="B19" s="11">
        <f>ROW(B19) - ROW($B$2)</f>
        <v>17</v>
      </c>
      <c r="C19" s="12" t="s">
        <v>12</v>
      </c>
      <c r="D19" s="17" t="s">
        <v>33</v>
      </c>
      <c r="E19" s="18" t="s">
        <v>59</v>
      </c>
      <c r="F19" s="17" t="s">
        <v>82</v>
      </c>
      <c r="G19" s="18" t="s">
        <v>101</v>
      </c>
      <c r="H19" s="17" t="s">
        <v>110</v>
      </c>
      <c r="I19" s="18" t="s">
        <v>128</v>
      </c>
      <c r="J19" s="17"/>
      <c r="K19" s="25">
        <v>1</v>
      </c>
      <c r="L19" s="45" t="s">
        <v>155</v>
      </c>
    </row>
    <row r="20" spans="1:12" ht="15.75" thickBot="1" x14ac:dyDescent="0.3">
      <c r="A20" s="1"/>
      <c r="B20" s="11">
        <f t="shared" si="0"/>
        <v>18</v>
      </c>
      <c r="C20" s="13" t="s">
        <v>12</v>
      </c>
      <c r="D20" s="15" t="s">
        <v>34</v>
      </c>
      <c r="E20" s="16" t="s">
        <v>60</v>
      </c>
      <c r="F20" s="15" t="s">
        <v>83</v>
      </c>
      <c r="G20" s="16" t="s">
        <v>102</v>
      </c>
      <c r="H20" s="15" t="s">
        <v>110</v>
      </c>
      <c r="I20" s="16" t="s">
        <v>128</v>
      </c>
      <c r="J20" s="15"/>
      <c r="K20" s="24">
        <v>1</v>
      </c>
      <c r="L20" s="19" t="s">
        <v>155</v>
      </c>
    </row>
    <row r="21" spans="1:12" ht="15.75" thickBot="1" x14ac:dyDescent="0.3">
      <c r="A21" s="1"/>
      <c r="B21" s="11">
        <f>ROW(B21) - ROW($B$2)</f>
        <v>19</v>
      </c>
      <c r="C21" s="12" t="s">
        <v>12</v>
      </c>
      <c r="D21" s="7" t="s">
        <v>35</v>
      </c>
      <c r="E21" s="8" t="s">
        <v>59</v>
      </c>
      <c r="F21" s="7" t="s">
        <v>82</v>
      </c>
      <c r="G21" s="8" t="s">
        <v>101</v>
      </c>
      <c r="H21" s="7" t="s">
        <v>110</v>
      </c>
      <c r="I21" s="8" t="s">
        <v>131</v>
      </c>
      <c r="J21" s="7"/>
      <c r="K21" s="23">
        <v>6</v>
      </c>
      <c r="L21" s="45"/>
    </row>
    <row r="22" spans="1:12" ht="15.75" thickBot="1" x14ac:dyDescent="0.3">
      <c r="A22" s="1"/>
      <c r="B22" s="11">
        <f t="shared" si="0"/>
        <v>20</v>
      </c>
      <c r="C22" s="13" t="s">
        <v>12</v>
      </c>
      <c r="D22" s="15" t="s">
        <v>36</v>
      </c>
      <c r="E22" s="16" t="s">
        <v>61</v>
      </c>
      <c r="F22" s="15" t="s">
        <v>82</v>
      </c>
      <c r="G22" s="16" t="s">
        <v>103</v>
      </c>
      <c r="H22" s="15" t="s">
        <v>110</v>
      </c>
      <c r="I22" s="16" t="s">
        <v>128</v>
      </c>
      <c r="J22" s="15"/>
      <c r="K22" s="24">
        <v>2</v>
      </c>
      <c r="L22" s="19" t="s">
        <v>155</v>
      </c>
    </row>
    <row r="23" spans="1:12" ht="15.75" thickBot="1" x14ac:dyDescent="0.3">
      <c r="A23" s="1"/>
      <c r="B23" s="11">
        <f>ROW(B23) - ROW($B$2)</f>
        <v>21</v>
      </c>
      <c r="C23" s="12"/>
      <c r="D23" s="17" t="s">
        <v>37</v>
      </c>
      <c r="E23" s="18" t="s">
        <v>62</v>
      </c>
      <c r="F23" s="17" t="s">
        <v>82</v>
      </c>
      <c r="G23" s="18" t="s">
        <v>104</v>
      </c>
      <c r="H23" s="17" t="s">
        <v>110</v>
      </c>
      <c r="I23" s="18" t="s">
        <v>128</v>
      </c>
      <c r="J23" s="17"/>
      <c r="K23" s="25">
        <v>1</v>
      </c>
      <c r="L23" s="45" t="s">
        <v>155</v>
      </c>
    </row>
    <row r="24" spans="1:12" ht="15.75" thickBot="1" x14ac:dyDescent="0.3">
      <c r="A24" s="1"/>
      <c r="B24" s="11">
        <f t="shared" si="0"/>
        <v>22</v>
      </c>
      <c r="C24" s="13" t="s">
        <v>12</v>
      </c>
      <c r="D24" s="9" t="s">
        <v>38</v>
      </c>
      <c r="E24" s="10" t="s">
        <v>63</v>
      </c>
      <c r="F24" s="9" t="s">
        <v>82</v>
      </c>
      <c r="G24" s="10" t="s">
        <v>105</v>
      </c>
      <c r="H24" s="9" t="s">
        <v>110</v>
      </c>
      <c r="I24" s="10" t="s">
        <v>132</v>
      </c>
      <c r="J24" s="9"/>
      <c r="K24" s="26">
        <v>1</v>
      </c>
      <c r="L24" s="19"/>
    </row>
    <row r="25" spans="1:12" ht="36.75" thickBot="1" x14ac:dyDescent="0.3">
      <c r="A25" s="1"/>
      <c r="B25" s="11">
        <f>ROW(B25) - ROW($B$2)</f>
        <v>23</v>
      </c>
      <c r="C25" s="12" t="s">
        <v>13</v>
      </c>
      <c r="D25" s="7" t="s">
        <v>39</v>
      </c>
      <c r="E25" s="8" t="s">
        <v>64</v>
      </c>
      <c r="F25" s="9" t="s">
        <v>137</v>
      </c>
      <c r="G25" s="8" t="s">
        <v>84</v>
      </c>
      <c r="H25" s="7" t="s">
        <v>121</v>
      </c>
      <c r="I25" s="8" t="s">
        <v>135</v>
      </c>
      <c r="J25" s="7"/>
      <c r="K25" s="23">
        <v>2</v>
      </c>
      <c r="L25" s="45"/>
    </row>
    <row r="26" spans="1:12" ht="36.75" thickBot="1" x14ac:dyDescent="0.3">
      <c r="A26" s="1"/>
      <c r="B26" s="11">
        <f t="shared" si="0"/>
        <v>24</v>
      </c>
      <c r="C26" s="13" t="s">
        <v>13</v>
      </c>
      <c r="D26" s="9" t="s">
        <v>40</v>
      </c>
      <c r="E26" s="10" t="s">
        <v>65</v>
      </c>
      <c r="F26" s="9" t="s">
        <v>137</v>
      </c>
      <c r="G26" s="10" t="s">
        <v>85</v>
      </c>
      <c r="H26" s="9" t="s">
        <v>122</v>
      </c>
      <c r="I26" s="8" t="s">
        <v>135</v>
      </c>
      <c r="J26" s="7"/>
      <c r="K26" s="26">
        <v>1</v>
      </c>
      <c r="L26" s="19"/>
    </row>
    <row r="27" spans="1:12" ht="24.75" thickBot="1" x14ac:dyDescent="0.3">
      <c r="A27" s="1"/>
      <c r="B27" s="11">
        <f>ROW(B27) - ROW($B$2)</f>
        <v>25</v>
      </c>
      <c r="C27" s="13" t="s">
        <v>13</v>
      </c>
      <c r="D27" s="7" t="s">
        <v>41</v>
      </c>
      <c r="E27" s="8" t="s">
        <v>66</v>
      </c>
      <c r="F27" s="9" t="s">
        <v>137</v>
      </c>
      <c r="G27" s="8" t="s">
        <v>86</v>
      </c>
      <c r="H27" s="7" t="s">
        <v>123</v>
      </c>
      <c r="I27" s="8" t="s">
        <v>135</v>
      </c>
      <c r="J27" s="7"/>
      <c r="K27" s="23">
        <v>1</v>
      </c>
      <c r="L27" s="45"/>
    </row>
    <row r="28" spans="1:12" ht="24.75" thickBot="1" x14ac:dyDescent="0.3">
      <c r="A28" s="1"/>
      <c r="B28" s="11">
        <f t="shared" si="0"/>
        <v>26</v>
      </c>
      <c r="C28" s="13" t="s">
        <v>11</v>
      </c>
      <c r="D28" s="15" t="s">
        <v>42</v>
      </c>
      <c r="E28" s="16" t="s">
        <v>67</v>
      </c>
      <c r="F28" s="15" t="s">
        <v>87</v>
      </c>
      <c r="G28" s="16" t="s">
        <v>106</v>
      </c>
      <c r="H28" s="15" t="s">
        <v>124</v>
      </c>
      <c r="I28" s="16" t="s">
        <v>128</v>
      </c>
      <c r="J28" s="15"/>
      <c r="K28" s="24">
        <v>1</v>
      </c>
      <c r="L28" s="19" t="s">
        <v>155</v>
      </c>
    </row>
    <row r="29" spans="1:12" ht="15.75" thickBot="1" x14ac:dyDescent="0.3">
      <c r="A29" s="1"/>
      <c r="B29" s="11">
        <f>ROW(B29) - ROW($B$2)</f>
        <v>27</v>
      </c>
      <c r="C29" s="12" t="s">
        <v>14</v>
      </c>
      <c r="D29" s="7" t="s">
        <v>43</v>
      </c>
      <c r="E29" s="8" t="s">
        <v>68</v>
      </c>
      <c r="F29" s="7" t="s">
        <v>88</v>
      </c>
      <c r="G29" s="8" t="s">
        <v>107</v>
      </c>
      <c r="H29" s="7" t="s">
        <v>125</v>
      </c>
      <c r="I29" s="8" t="s">
        <v>135</v>
      </c>
      <c r="J29" s="7"/>
      <c r="K29" s="23">
        <v>1</v>
      </c>
      <c r="L29" s="45"/>
    </row>
    <row r="30" spans="1:12" ht="15.75" thickBot="1" x14ac:dyDescent="0.3">
      <c r="A30" s="1"/>
      <c r="B30" s="11">
        <f t="shared" si="0"/>
        <v>28</v>
      </c>
      <c r="C30" s="13" t="s">
        <v>15</v>
      </c>
      <c r="D30" s="9" t="s">
        <v>44</v>
      </c>
      <c r="E30" s="10" t="s">
        <v>69</v>
      </c>
      <c r="F30" s="9" t="s">
        <v>89</v>
      </c>
      <c r="G30" s="10" t="s">
        <v>108</v>
      </c>
      <c r="H30" s="9" t="s">
        <v>126</v>
      </c>
      <c r="I30" s="10" t="s">
        <v>135</v>
      </c>
      <c r="J30" s="29"/>
      <c r="K30" s="26">
        <v>1</v>
      </c>
      <c r="L30" s="19"/>
    </row>
    <row r="31" spans="1:12" ht="48.75" thickBot="1" x14ac:dyDescent="0.3">
      <c r="B31" s="11">
        <f t="shared" si="0"/>
        <v>29</v>
      </c>
      <c r="C31" s="12" t="s">
        <v>138</v>
      </c>
      <c r="D31" s="7" t="s">
        <v>139</v>
      </c>
      <c r="E31" s="7" t="s">
        <v>140</v>
      </c>
      <c r="F31" s="7" t="s">
        <v>135</v>
      </c>
      <c r="G31" s="7" t="s">
        <v>135</v>
      </c>
      <c r="H31" s="7" t="s">
        <v>135</v>
      </c>
      <c r="I31" s="21" t="s">
        <v>135</v>
      </c>
      <c r="J31" s="30" t="s">
        <v>141</v>
      </c>
      <c r="K31" s="7">
        <v>1</v>
      </c>
      <c r="L31" s="45"/>
    </row>
    <row r="32" spans="1:12" ht="48.75" thickBot="1" x14ac:dyDescent="0.3">
      <c r="B32" s="11">
        <f t="shared" si="0"/>
        <v>30</v>
      </c>
      <c r="C32" s="12" t="s">
        <v>142</v>
      </c>
      <c r="D32" s="7" t="s">
        <v>139</v>
      </c>
      <c r="E32" s="7" t="s">
        <v>143</v>
      </c>
      <c r="F32" s="7" t="s">
        <v>135</v>
      </c>
      <c r="G32" s="7" t="s">
        <v>135</v>
      </c>
      <c r="H32" s="7" t="s">
        <v>135</v>
      </c>
      <c r="I32" s="21" t="s">
        <v>135</v>
      </c>
      <c r="J32" s="20" t="s">
        <v>141</v>
      </c>
      <c r="K32" s="7">
        <v>1</v>
      </c>
      <c r="L32" s="45"/>
    </row>
    <row r="33" spans="2:12" ht="24.75" thickBot="1" x14ac:dyDescent="0.3">
      <c r="B33" s="11">
        <f t="shared" si="0"/>
        <v>31</v>
      </c>
      <c r="C33" s="13" t="s">
        <v>144</v>
      </c>
      <c r="D33" s="9" t="s">
        <v>139</v>
      </c>
      <c r="E33" s="9" t="s">
        <v>145</v>
      </c>
      <c r="F33" s="9" t="s">
        <v>135</v>
      </c>
      <c r="G33" s="9" t="s">
        <v>135</v>
      </c>
      <c r="H33" s="9" t="s">
        <v>135</v>
      </c>
      <c r="I33" s="9" t="s">
        <v>135</v>
      </c>
      <c r="J33" s="31" t="s">
        <v>146</v>
      </c>
      <c r="K33" s="9">
        <v>1</v>
      </c>
      <c r="L33" s="19"/>
    </row>
    <row r="34" spans="2:12" ht="15.75" thickBot="1" x14ac:dyDescent="0.3">
      <c r="B34" s="11">
        <f t="shared" si="0"/>
        <v>32</v>
      </c>
      <c r="C34" s="34" t="s">
        <v>147</v>
      </c>
      <c r="D34" s="35" t="s">
        <v>139</v>
      </c>
      <c r="E34" s="36" t="s">
        <v>148</v>
      </c>
      <c r="F34" s="37" t="s">
        <v>135</v>
      </c>
      <c r="G34" s="37" t="s">
        <v>149</v>
      </c>
      <c r="H34" s="27" t="s">
        <v>135</v>
      </c>
      <c r="I34" s="27" t="s">
        <v>135</v>
      </c>
      <c r="J34" s="31" t="s">
        <v>141</v>
      </c>
      <c r="K34" s="7">
        <v>3</v>
      </c>
      <c r="L34" s="45"/>
    </row>
    <row r="35" spans="2:12" ht="15.75" thickBot="1" x14ac:dyDescent="0.3">
      <c r="B35" s="11">
        <f t="shared" si="0"/>
        <v>33</v>
      </c>
      <c r="C35" s="38"/>
      <c r="D35" s="39"/>
      <c r="E35" s="36" t="s">
        <v>150</v>
      </c>
      <c r="F35" s="37" t="s">
        <v>135</v>
      </c>
      <c r="G35" s="37" t="s">
        <v>151</v>
      </c>
      <c r="H35" s="27" t="s">
        <v>135</v>
      </c>
      <c r="I35" s="27" t="s">
        <v>135</v>
      </c>
      <c r="J35" s="32" t="s">
        <v>141</v>
      </c>
      <c r="K35" s="7">
        <v>2</v>
      </c>
      <c r="L35" s="45"/>
    </row>
    <row r="36" spans="2:12" ht="15.75" thickBot="1" x14ac:dyDescent="0.3">
      <c r="B36" s="11">
        <f t="shared" si="0"/>
        <v>34</v>
      </c>
      <c r="C36" s="40"/>
      <c r="D36" s="41"/>
      <c r="E36" s="42" t="s">
        <v>152</v>
      </c>
      <c r="F36" s="43" t="s">
        <v>135</v>
      </c>
      <c r="G36" s="43" t="s">
        <v>153</v>
      </c>
      <c r="H36" s="43" t="s">
        <v>135</v>
      </c>
      <c r="I36" s="43" t="s">
        <v>135</v>
      </c>
      <c r="J36" s="33" t="s">
        <v>141</v>
      </c>
      <c r="K36" s="28">
        <v>4</v>
      </c>
      <c r="L36" s="46"/>
    </row>
  </sheetData>
  <mergeCells count="3">
    <mergeCell ref="I1:L1"/>
    <mergeCell ref="C34:C36"/>
    <mergeCell ref="D34:D36"/>
  </mergeCells>
  <hyperlinks>
    <hyperlink ref="J31" r:id="rId1" xr:uid="{B7EC1811-5C7F-4D69-A252-67DD4257F611}"/>
    <hyperlink ref="J32" r:id="rId2" xr:uid="{232BE579-4A2A-47D7-9240-611BD168F29A}"/>
    <hyperlink ref="J33" r:id="rId3" xr:uid="{9A10DEDA-5839-4A97-AEFA-9B898C975E56}"/>
    <hyperlink ref="J34" r:id="rId4" xr:uid="{91E2DC22-8B6A-44DB-A250-4AB4E288516E}"/>
    <hyperlink ref="J36" r:id="rId5" xr:uid="{136608BC-7283-4E58-97CD-D4144285D524}"/>
    <hyperlink ref="J35" r:id="rId6" xr:uid="{3D00C71B-8624-4516-B2EF-1745F8146747}"/>
  </hyperlinks>
  <pageMargins left="0.7" right="0.7" top="0.75" bottom="0.75" header="0.3" footer="0.3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2024-08-21T13:50:02Z</dcterms:modified>
</cp:coreProperties>
</file>