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smartmasjid-hardware\Design Files\IoT-Button-v2.1\BOM\"/>
    </mc:Choice>
  </mc:AlternateContent>
  <bookViews>
    <workbookView xWindow="0" yWindow="0" windowWidth="28800" windowHeight="1230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24" i="1" l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<sst xmlns="http://schemas.openxmlformats.org/spreadsheetml/2006/main" count="174" uniqueCount="128">
  <si>
    <t>#</t>
  </si>
  <si>
    <t>Item Type</t>
  </si>
  <si>
    <t>Capacitors</t>
  </si>
  <si>
    <t>Capacitor</t>
  </si>
  <si>
    <t>Diode</t>
  </si>
  <si>
    <t>Fuse</t>
  </si>
  <si>
    <t>Ferrite Bead</t>
  </si>
  <si>
    <t>DC Jack</t>
  </si>
  <si>
    <t>Connector</t>
  </si>
  <si>
    <t>RGB LED</t>
  </si>
  <si>
    <t>Mosfet</t>
  </si>
  <si>
    <t>Resistor</t>
  </si>
  <si>
    <t>Resistors</t>
  </si>
  <si>
    <t>Tactile Switch</t>
  </si>
  <si>
    <t>Module</t>
  </si>
  <si>
    <t>IC</t>
  </si>
  <si>
    <t>Designator</t>
  </si>
  <si>
    <t>C1, C4</t>
  </si>
  <si>
    <t>C2, C5, C10, C11, C14, C15, C16, C17, C18, C22, C23</t>
  </si>
  <si>
    <t>C3</t>
  </si>
  <si>
    <t>C6</t>
  </si>
  <si>
    <t>C7, C8</t>
  </si>
  <si>
    <t>C9, C12</t>
  </si>
  <si>
    <t>D1</t>
  </si>
  <si>
    <t>F1</t>
  </si>
  <si>
    <t>FB1</t>
  </si>
  <si>
    <t>J1</t>
  </si>
  <si>
    <t>J3</t>
  </si>
  <si>
    <t>LED4, LED5, LED6, LED7, LED8, LED9</t>
  </si>
  <si>
    <t>Q1</t>
  </si>
  <si>
    <t>R1, R9, R13, R14</t>
  </si>
  <si>
    <t>R2</t>
  </si>
  <si>
    <t>R3</t>
  </si>
  <si>
    <t>R10</t>
  </si>
  <si>
    <t>R15</t>
  </si>
  <si>
    <t>SW3</t>
  </si>
  <si>
    <t>SW4</t>
  </si>
  <si>
    <t>U2</t>
  </si>
  <si>
    <t>U3</t>
  </si>
  <si>
    <t>Description</t>
  </si>
  <si>
    <t>CAP CER 22UF 16V X5R 0603</t>
  </si>
  <si>
    <t>CAP CER 0.1UF 25V X5R 0402</t>
  </si>
  <si>
    <t>CAP CER 1UF 25V X5R 0603</t>
  </si>
  <si>
    <t>CAP CER 4.7UF 10V X5R 0402</t>
  </si>
  <si>
    <t>CAP CER 1UF 16V X5R 0402</t>
  </si>
  <si>
    <t>CAP CER 0.1UF 50V X7R 0402</t>
  </si>
  <si>
    <t>TVS DIODE 5VWM 6.3VC DSN0603-2</t>
  </si>
  <si>
    <t>6V 2A 50A 1W -40℃~+85℃ 4A 4mΩ 5s 45mΩ 0805 Resettable Fuses ROHS</t>
  </si>
  <si>
    <t>FERRITE BEAD 120 OHM 0603 1LN</t>
  </si>
  <si>
    <t>DC Power Receptacle 260℃ Brass -20℃~+70℃ 2.5mm 6mm 2.5A 24V Plugin AC/DC Power Connectors ROHS</t>
  </si>
  <si>
    <t>1x6P SH 1 1mm 6 SMD,P=1mm Wire To Board / Wire To Wire Connector ROHS</t>
  </si>
  <si>
    <t>SMD5050 Light Emitting Diodes (LED) ROHS</t>
  </si>
  <si>
    <t>N-CHANNEL 20-V (D-S) MOSFET</t>
  </si>
  <si>
    <t>RES SMD 10K Ohm 1% 1/10W 0603</t>
  </si>
  <si>
    <t>RES 0 OHM JUMPER 1/10W 0603</t>
  </si>
  <si>
    <t>RES 0 OHM JUMPER 1/4W 1206</t>
  </si>
  <si>
    <t>SMD Chip Resistor, 10 kOhm, ± 1%, 750 mW, 2010 [5025 Metric], Thick Film, General Purpose</t>
  </si>
  <si>
    <t>RES SMD 1K OHM 1% 1/10W 0603</t>
  </si>
  <si>
    <t>No NO 50mA 100MΩ 100000 Times 12V 130gf@±30gf Brick nogging SPST SMD Tactile Switches ROHS</t>
  </si>
  <si>
    <t>50mA Lying SPST 24V Plugin Tactile Switches ROHS</t>
  </si>
  <si>
    <t>RF TXRX MODULE BT PCB TRACE SMD</t>
  </si>
  <si>
    <t>SOT-223 Linear Voltage Regulators (LDO) ROHS</t>
  </si>
  <si>
    <t>Footprint</t>
  </si>
  <si>
    <t>Cap-0603</t>
  </si>
  <si>
    <t>Cap-0402</t>
  </si>
  <si>
    <t>DSN0603-2</t>
  </si>
  <si>
    <t>Fuse-0805</t>
  </si>
  <si>
    <t>IND-0603 (1608 Metric)</t>
  </si>
  <si>
    <t>DC-0360-2.5</t>
  </si>
  <si>
    <t>WS2812B-XF02/W</t>
  </si>
  <si>
    <t>Sot-23</t>
  </si>
  <si>
    <t>Res-0603</t>
  </si>
  <si>
    <t>Res-1206</t>
  </si>
  <si>
    <t>RES-2010</t>
  </si>
  <si>
    <t>GT-TC074E-H080-L1</t>
  </si>
  <si>
    <t>1825027-8</t>
  </si>
  <si>
    <t>SOT- 223</t>
  </si>
  <si>
    <t>Manufacturer Part Number</t>
  </si>
  <si>
    <t>CL10A226MO7JZNC</t>
  </si>
  <si>
    <t>CC0402KRX5R8BB104</t>
  </si>
  <si>
    <t>CC0603KRX5R8BB105</t>
  </si>
  <si>
    <t>CC0402KRX5R6BB475</t>
  </si>
  <si>
    <t>CC0402KRX5R7BB105</t>
  </si>
  <si>
    <t>CL05B104KB54PNC</t>
  </si>
  <si>
    <t>PESD5V0H1BSFYL</t>
  </si>
  <si>
    <t>BSMD0805L-200</t>
  </si>
  <si>
    <t>BLM18SG121TN1D</t>
  </si>
  <si>
    <t>C145963</t>
  </si>
  <si>
    <t>SI2302CDS</t>
  </si>
  <si>
    <t>RC0603FR-0710KL</t>
  </si>
  <si>
    <t>RC0603JR-070RL</t>
  </si>
  <si>
    <t>RC1206JR-070RL</t>
  </si>
  <si>
    <t>RC2010FK-0710KL</t>
  </si>
  <si>
    <t>RC0603FR-071KL</t>
  </si>
  <si>
    <t>ESP32-WROOM-32E-N8R2</t>
  </si>
  <si>
    <t>AMS1117-3.3</t>
  </si>
  <si>
    <t>Manufacturer</t>
  </si>
  <si>
    <t>Samsung</t>
  </si>
  <si>
    <t>Yageo</t>
  </si>
  <si>
    <t>Nexperia</t>
  </si>
  <si>
    <t>BHFUSE</t>
  </si>
  <si>
    <t>Murata</t>
  </si>
  <si>
    <t>XKB Connectivity</t>
  </si>
  <si>
    <t>BOOMELE</t>
  </si>
  <si>
    <t>Worldsemi</t>
  </si>
  <si>
    <t>TECH PUBLIC</t>
  </si>
  <si>
    <t>G-Switch</t>
  </si>
  <si>
    <t>TE Connectivity</t>
  </si>
  <si>
    <t>Espressif Systems</t>
  </si>
  <si>
    <t>GUOXIN JIAPIN SEMICONDUCTOR</t>
  </si>
  <si>
    <t>22uF</t>
  </si>
  <si>
    <t>100nF</t>
  </si>
  <si>
    <t>1uF</t>
  </si>
  <si>
    <t>4.7uF</t>
  </si>
  <si>
    <t>0.1uF</t>
  </si>
  <si>
    <t>10K</t>
  </si>
  <si>
    <t>DNP</t>
  </si>
  <si>
    <t>0R</t>
  </si>
  <si>
    <t>1K</t>
  </si>
  <si>
    <t>Quantity</t>
  </si>
  <si>
    <t>Remarks</t>
  </si>
  <si>
    <t>Value</t>
  </si>
  <si>
    <t>-</t>
  </si>
  <si>
    <t>Do Not Place</t>
  </si>
  <si>
    <t>Custom</t>
  </si>
  <si>
    <t>Peripheral</t>
  </si>
  <si>
    <t>5V - 2A, Barrel Connector, Polarity Center Positive, Size: OD 5.5mm, ID 2.6mm, Insertion depth 8.3mm</t>
  </si>
  <si>
    <t>Please verify barrel plug dimensions at the time of ordering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</si>
</sst>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5"/>
  <sheetViews>
    <sheetView tabSelected="1" topLeftCell="A4" workbookViewId="0">
      <selection activeCell="J25" sqref="J25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7"/>
      <c r="J1" s="17"/>
      <c r="K1" s="17"/>
    </row>
    <row r="2" spans="1:11" ht="15.75" thickBot="1" x14ac:dyDescent="0.3">
      <c r="A2" s="1"/>
      <c r="B2" s="5" t="s">
        <v>0</v>
      </c>
      <c r="C2" s="5" t="s">
        <v>1</v>
      </c>
      <c r="D2" s="5" t="s">
        <v>16</v>
      </c>
      <c r="E2" s="6" t="s">
        <v>39</v>
      </c>
      <c r="F2" s="5" t="s">
        <v>62</v>
      </c>
      <c r="G2" s="6" t="s">
        <v>77</v>
      </c>
      <c r="H2" s="5" t="s">
        <v>96</v>
      </c>
      <c r="I2" s="6" t="s">
        <v>121</v>
      </c>
      <c r="J2" s="5" t="s">
        <v>119</v>
      </c>
      <c r="K2" s="5" t="s">
        <v>120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17</v>
      </c>
      <c r="E3" s="8" t="s">
        <v>40</v>
      </c>
      <c r="F3" s="7" t="s">
        <v>63</v>
      </c>
      <c r="G3" s="8" t="s">
        <v>78</v>
      </c>
      <c r="H3" s="7" t="s">
        <v>97</v>
      </c>
      <c r="I3" s="8" t="s">
        <v>110</v>
      </c>
      <c r="J3" s="7">
        <v>2</v>
      </c>
      <c r="K3" s="7"/>
    </row>
    <row r="4" spans="1:11" ht="24.75" thickBot="1" x14ac:dyDescent="0.3">
      <c r="A4" s="1"/>
      <c r="B4" s="11">
        <f t="shared" ref="B4:B24" si="0">ROW(B4) - ROW($B$2)</f>
        <v>2</v>
      </c>
      <c r="C4" s="13" t="s">
        <v>3</v>
      </c>
      <c r="D4" s="9" t="s">
        <v>18</v>
      </c>
      <c r="E4" s="10" t="s">
        <v>41</v>
      </c>
      <c r="F4" s="9" t="s">
        <v>64</v>
      </c>
      <c r="G4" s="10" t="s">
        <v>79</v>
      </c>
      <c r="H4" s="9" t="s">
        <v>98</v>
      </c>
      <c r="I4" s="10" t="s">
        <v>111</v>
      </c>
      <c r="J4" s="9">
        <v>11</v>
      </c>
      <c r="K4" s="9"/>
    </row>
    <row r="5" spans="1:11" ht="15.75" thickBot="1" x14ac:dyDescent="0.3">
      <c r="A5" s="1"/>
      <c r="B5" s="11">
        <f>ROW(B5) - ROW($B$2)</f>
        <v>3</v>
      </c>
      <c r="C5" s="12" t="s">
        <v>3</v>
      </c>
      <c r="D5" s="7" t="s">
        <v>19</v>
      </c>
      <c r="E5" s="8" t="s">
        <v>42</v>
      </c>
      <c r="F5" s="7" t="s">
        <v>63</v>
      </c>
      <c r="G5" s="8" t="s">
        <v>80</v>
      </c>
      <c r="H5" s="7" t="s">
        <v>98</v>
      </c>
      <c r="I5" s="8" t="s">
        <v>112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2" t="s">
        <v>3</v>
      </c>
      <c r="D6" s="9" t="s">
        <v>20</v>
      </c>
      <c r="E6" s="10" t="s">
        <v>43</v>
      </c>
      <c r="F6" s="9" t="s">
        <v>64</v>
      </c>
      <c r="G6" s="10" t="s">
        <v>81</v>
      </c>
      <c r="H6" s="9" t="s">
        <v>98</v>
      </c>
      <c r="I6" s="10" t="s">
        <v>113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3</v>
      </c>
      <c r="D7" s="7" t="s">
        <v>21</v>
      </c>
      <c r="E7" s="8" t="s">
        <v>44</v>
      </c>
      <c r="F7" s="7" t="s">
        <v>64</v>
      </c>
      <c r="G7" s="8" t="s">
        <v>82</v>
      </c>
      <c r="H7" s="7" t="s">
        <v>98</v>
      </c>
      <c r="I7" s="8" t="s">
        <v>112</v>
      </c>
      <c r="J7" s="7">
        <v>2</v>
      </c>
      <c r="K7" s="7"/>
    </row>
    <row r="8" spans="1:11" ht="15.75" thickBot="1" x14ac:dyDescent="0.3">
      <c r="A8" s="1"/>
      <c r="B8" s="11">
        <f t="shared" si="0"/>
        <v>6</v>
      </c>
      <c r="C8" s="12" t="s">
        <v>3</v>
      </c>
      <c r="D8" s="9" t="s">
        <v>22</v>
      </c>
      <c r="E8" s="10" t="s">
        <v>45</v>
      </c>
      <c r="F8" s="9" t="s">
        <v>64</v>
      </c>
      <c r="G8" s="10" t="s">
        <v>83</v>
      </c>
      <c r="H8" s="9" t="s">
        <v>97</v>
      </c>
      <c r="I8" s="10" t="s">
        <v>114</v>
      </c>
      <c r="J8" s="9">
        <v>2</v>
      </c>
      <c r="K8" s="9"/>
    </row>
    <row r="9" spans="1:11" ht="15.75" thickBot="1" x14ac:dyDescent="0.3">
      <c r="A9" s="1"/>
      <c r="B9" s="11">
        <f>ROW(B9) - ROW($B$2)</f>
        <v>7</v>
      </c>
      <c r="C9" s="12" t="s">
        <v>4</v>
      </c>
      <c r="D9" s="7" t="s">
        <v>23</v>
      </c>
      <c r="E9" s="8" t="s">
        <v>46</v>
      </c>
      <c r="F9" s="7" t="s">
        <v>65</v>
      </c>
      <c r="G9" s="8" t="s">
        <v>84</v>
      </c>
      <c r="H9" s="7" t="s">
        <v>99</v>
      </c>
      <c r="I9" s="8" t="s">
        <v>122</v>
      </c>
      <c r="J9" s="7">
        <v>1</v>
      </c>
      <c r="K9" s="7"/>
    </row>
    <row r="10" spans="1:11" ht="24.75" thickBot="1" x14ac:dyDescent="0.3">
      <c r="A10" s="1"/>
      <c r="B10" s="11">
        <f t="shared" si="0"/>
        <v>8</v>
      </c>
      <c r="C10" s="13" t="s">
        <v>5</v>
      </c>
      <c r="D10" s="9" t="s">
        <v>24</v>
      </c>
      <c r="E10" s="10" t="s">
        <v>47</v>
      </c>
      <c r="F10" s="9" t="s">
        <v>66</v>
      </c>
      <c r="G10" s="10" t="s">
        <v>85</v>
      </c>
      <c r="H10" s="9" t="s">
        <v>100</v>
      </c>
      <c r="I10" s="10" t="s">
        <v>122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6</v>
      </c>
      <c r="D11" s="7" t="s">
        <v>25</v>
      </c>
      <c r="E11" s="8" t="s">
        <v>48</v>
      </c>
      <c r="F11" s="7" t="s">
        <v>67</v>
      </c>
      <c r="G11" s="8" t="s">
        <v>86</v>
      </c>
      <c r="H11" s="7" t="s">
        <v>101</v>
      </c>
      <c r="I11" s="8" t="s">
        <v>122</v>
      </c>
      <c r="J11" s="7">
        <v>1</v>
      </c>
      <c r="K11" s="7"/>
    </row>
    <row r="12" spans="1:11" ht="48.75" thickBot="1" x14ac:dyDescent="0.3">
      <c r="A12" s="1"/>
      <c r="B12" s="11">
        <f t="shared" si="0"/>
        <v>10</v>
      </c>
      <c r="C12" s="13" t="s">
        <v>7</v>
      </c>
      <c r="D12" s="9" t="s">
        <v>26</v>
      </c>
      <c r="E12" s="10" t="s">
        <v>49</v>
      </c>
      <c r="F12" s="9" t="s">
        <v>124</v>
      </c>
      <c r="G12" s="10" t="s">
        <v>68</v>
      </c>
      <c r="H12" s="9" t="s">
        <v>102</v>
      </c>
      <c r="I12" s="10" t="s">
        <v>122</v>
      </c>
      <c r="J12" s="9">
        <v>1</v>
      </c>
      <c r="K12" s="9"/>
    </row>
    <row r="13" spans="1:11" ht="36.75" thickBot="1" x14ac:dyDescent="0.3">
      <c r="A13" s="1"/>
      <c r="B13" s="11">
        <f>ROW(B13) - ROW($B$2)</f>
        <v>11</v>
      </c>
      <c r="C13" s="12" t="s">
        <v>8</v>
      </c>
      <c r="D13" s="7" t="s">
        <v>27</v>
      </c>
      <c r="E13" s="8" t="s">
        <v>50</v>
      </c>
      <c r="F13" s="9" t="s">
        <v>124</v>
      </c>
      <c r="G13" s="8" t="s">
        <v>87</v>
      </c>
      <c r="H13" s="7" t="s">
        <v>103</v>
      </c>
      <c r="I13" s="8" t="s">
        <v>122</v>
      </c>
      <c r="J13" s="7">
        <v>1</v>
      </c>
      <c r="K13" s="7"/>
    </row>
    <row r="14" spans="1:11" ht="24.75" thickBot="1" x14ac:dyDescent="0.3">
      <c r="A14" s="1"/>
      <c r="B14" s="11">
        <f t="shared" si="0"/>
        <v>12</v>
      </c>
      <c r="C14" s="13" t="s">
        <v>9</v>
      </c>
      <c r="D14" s="9" t="s">
        <v>28</v>
      </c>
      <c r="E14" s="10" t="s">
        <v>51</v>
      </c>
      <c r="F14" s="9" t="s">
        <v>124</v>
      </c>
      <c r="G14" s="10" t="s">
        <v>69</v>
      </c>
      <c r="H14" s="9" t="s">
        <v>104</v>
      </c>
      <c r="I14" s="10" t="s">
        <v>122</v>
      </c>
      <c r="J14" s="9">
        <v>6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10</v>
      </c>
      <c r="D15" s="7" t="s">
        <v>29</v>
      </c>
      <c r="E15" s="8" t="s">
        <v>52</v>
      </c>
      <c r="F15" s="7" t="s">
        <v>70</v>
      </c>
      <c r="G15" s="8" t="s">
        <v>88</v>
      </c>
      <c r="H15" s="7" t="s">
        <v>105</v>
      </c>
      <c r="I15" s="8" t="s">
        <v>122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11</v>
      </c>
      <c r="D16" s="9" t="s">
        <v>30</v>
      </c>
      <c r="E16" s="10" t="s">
        <v>53</v>
      </c>
      <c r="F16" s="9" t="s">
        <v>71</v>
      </c>
      <c r="G16" s="10" t="s">
        <v>89</v>
      </c>
      <c r="H16" s="9" t="s">
        <v>98</v>
      </c>
      <c r="I16" s="10" t="s">
        <v>115</v>
      </c>
      <c r="J16" s="9">
        <v>4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11</v>
      </c>
      <c r="D17" s="14" t="s">
        <v>31</v>
      </c>
      <c r="E17" s="15" t="s">
        <v>54</v>
      </c>
      <c r="F17" s="14" t="s">
        <v>71</v>
      </c>
      <c r="G17" s="15" t="s">
        <v>90</v>
      </c>
      <c r="H17" s="14" t="s">
        <v>98</v>
      </c>
      <c r="I17" s="15" t="s">
        <v>116</v>
      </c>
      <c r="J17" s="14">
        <v>1</v>
      </c>
      <c r="K17" s="16" t="s">
        <v>123</v>
      </c>
    </row>
    <row r="18" spans="1:11" ht="15.75" thickBot="1" x14ac:dyDescent="0.3">
      <c r="A18" s="1"/>
      <c r="B18" s="11">
        <f t="shared" si="0"/>
        <v>16</v>
      </c>
      <c r="C18" s="13" t="s">
        <v>12</v>
      </c>
      <c r="D18" s="9" t="s">
        <v>32</v>
      </c>
      <c r="E18" s="10" t="s">
        <v>55</v>
      </c>
      <c r="F18" s="9" t="s">
        <v>72</v>
      </c>
      <c r="G18" s="10" t="s">
        <v>91</v>
      </c>
      <c r="H18" s="9" t="s">
        <v>98</v>
      </c>
      <c r="I18" s="10" t="s">
        <v>117</v>
      </c>
      <c r="J18" s="9">
        <v>1</v>
      </c>
      <c r="K18" s="9"/>
    </row>
    <row r="19" spans="1:11" ht="36.75" thickBot="1" x14ac:dyDescent="0.3">
      <c r="A19" s="1"/>
      <c r="B19" s="11">
        <f>ROW(B19) - ROW($B$2)</f>
        <v>17</v>
      </c>
      <c r="C19" s="13" t="s">
        <v>12</v>
      </c>
      <c r="D19" s="7" t="s">
        <v>33</v>
      </c>
      <c r="E19" s="8" t="s">
        <v>56</v>
      </c>
      <c r="F19" s="7" t="s">
        <v>73</v>
      </c>
      <c r="G19" s="8" t="s">
        <v>92</v>
      </c>
      <c r="H19" s="7" t="s">
        <v>98</v>
      </c>
      <c r="I19" s="8" t="s">
        <v>115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11</v>
      </c>
      <c r="D20" s="9" t="s">
        <v>34</v>
      </c>
      <c r="E20" s="10" t="s">
        <v>57</v>
      </c>
      <c r="F20" s="9" t="s">
        <v>71</v>
      </c>
      <c r="G20" s="10" t="s">
        <v>93</v>
      </c>
      <c r="H20" s="9" t="s">
        <v>98</v>
      </c>
      <c r="I20" s="10" t="s">
        <v>118</v>
      </c>
      <c r="J20" s="9">
        <v>1</v>
      </c>
      <c r="K20" s="9"/>
    </row>
    <row r="21" spans="1:11" ht="36.75" thickBot="1" x14ac:dyDescent="0.3">
      <c r="A21" s="1"/>
      <c r="B21" s="11">
        <f>ROW(B21) - ROW($B$2)</f>
        <v>19</v>
      </c>
      <c r="C21" s="12" t="s">
        <v>13</v>
      </c>
      <c r="D21" s="7" t="s">
        <v>35</v>
      </c>
      <c r="E21" s="8" t="s">
        <v>58</v>
      </c>
      <c r="F21" s="9" t="s">
        <v>124</v>
      </c>
      <c r="G21" s="8" t="s">
        <v>74</v>
      </c>
      <c r="H21" s="7" t="s">
        <v>106</v>
      </c>
      <c r="I21" s="8" t="s">
        <v>122</v>
      </c>
      <c r="J21" s="7">
        <v>1</v>
      </c>
      <c r="K21" s="7"/>
    </row>
    <row r="22" spans="1:11" ht="24.75" thickBot="1" x14ac:dyDescent="0.3">
      <c r="A22" s="1"/>
      <c r="B22" s="11">
        <f t="shared" si="0"/>
        <v>20</v>
      </c>
      <c r="C22" s="12" t="s">
        <v>13</v>
      </c>
      <c r="D22" s="9" t="s">
        <v>36</v>
      </c>
      <c r="E22" s="10" t="s">
        <v>59</v>
      </c>
      <c r="F22" s="9" t="s">
        <v>124</v>
      </c>
      <c r="G22" s="10" t="s">
        <v>75</v>
      </c>
      <c r="H22" s="9" t="s">
        <v>107</v>
      </c>
      <c r="I22" s="10" t="s">
        <v>122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14</v>
      </c>
      <c r="D23" s="7" t="s">
        <v>37</v>
      </c>
      <c r="E23" s="8" t="s">
        <v>60</v>
      </c>
      <c r="F23" s="9" t="s">
        <v>124</v>
      </c>
      <c r="G23" s="8" t="s">
        <v>94</v>
      </c>
      <c r="H23" s="7" t="s">
        <v>108</v>
      </c>
      <c r="I23" s="8" t="s">
        <v>122</v>
      </c>
      <c r="J23" s="7">
        <v>1</v>
      </c>
      <c r="K23" s="7"/>
    </row>
    <row r="24" spans="1:11" ht="24.75" thickBot="1" x14ac:dyDescent="0.3">
      <c r="A24" s="1"/>
      <c r="B24" s="11">
        <f t="shared" si="0"/>
        <v>22</v>
      </c>
      <c r="C24" s="13" t="s">
        <v>15</v>
      </c>
      <c r="D24" s="9" t="s">
        <v>38</v>
      </c>
      <c r="E24" s="10" t="s">
        <v>61</v>
      </c>
      <c r="F24" s="9" t="s">
        <v>76</v>
      </c>
      <c r="G24" s="10" t="s">
        <v>95</v>
      </c>
      <c r="H24" s="9" t="s">
        <v>109</v>
      </c>
      <c r="I24" s="10" t="s">
        <v>122</v>
      </c>
      <c r="J24" s="9">
        <v>1</v>
      </c>
      <c r="K24" s="9"/>
    </row>
    <row r="25" spans="1:11" ht="36.75" thickBot="1" x14ac:dyDescent="0.3">
      <c r="B25" s="11">
        <v>23</v>
      </c>
      <c r="C25" s="13" t="s">
        <v>125</v>
      </c>
      <c r="D25" s="9" t="s">
        <v>122</v>
      </c>
      <c r="E25" s="10" t="s">
        <v>126</v>
      </c>
      <c r="F25" s="9" t="s">
        <v>122</v>
      </c>
      <c r="G25" s="9" t="s">
        <v>122</v>
      </c>
      <c r="H25" s="9" t="s">
        <v>122</v>
      </c>
      <c r="I25" s="9" t="s">
        <v>122</v>
      </c>
      <c r="J25" s="9" t="s">
        <v>122</v>
      </c>
      <c r="K25" s="18" t="s">
        <v>127</v>
      </c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2019-12-12T10:34:26Z</dcterms:created>
  <dcterms:modified xsi:type="dcterms:W3CDTF">2025-04-03T09:58:18Z</dcterms:modified>
</cp:coreProperties>
</file>