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martmasjid-hardware\Design Files\IoT-Button-v1.3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39" i="1" l="1"/>
  <c r="M38" i="1" l="1"/>
  <c r="B38" i="1"/>
  <c r="Q28" i="1"/>
  <c r="Q11" i="1"/>
  <c r="Q37" i="1"/>
  <c r="M37" i="1"/>
  <c r="Q36" i="1"/>
  <c r="M36" i="1"/>
  <c r="Q35" i="1"/>
  <c r="M35" i="1"/>
  <c r="B35" i="1"/>
  <c r="B36" i="1"/>
  <c r="B37" i="1"/>
  <c r="Q34" i="1" l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0" i="1" l="1"/>
  <c r="M11" i="1"/>
  <c r="M10" i="1"/>
  <c r="B11" i="1"/>
  <c r="B10" i="1"/>
  <c r="Q40" i="1" l="1"/>
</calcChain>
</file>

<file path=xl/sharedStrings.xml><?xml version="1.0" encoding="utf-8"?>
<sst xmlns="http://schemas.openxmlformats.org/spreadsheetml/2006/main" count="319" uniqueCount="195">
  <si>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</si>
  <si>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</si>
  <si>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</si>
  <si>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</si>
  <si>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</si>
  <si>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</si>
  <si>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</si>
  <si>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</si>
  <si>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</si>
  <si>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</si>
  <si>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</si>
  <si>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Fuse</t>
  </si>
  <si>
    <t>Ferrite Bead</t>
  </si>
  <si>
    <t>DC Jack</t>
  </si>
  <si>
    <t>JST Connector</t>
  </si>
  <si>
    <t>Connector</t>
  </si>
  <si>
    <t>LED</t>
  </si>
  <si>
    <t>RGB LED</t>
  </si>
  <si>
    <t>Mosfet</t>
  </si>
  <si>
    <t>Resistor</t>
  </si>
  <si>
    <t>Tactile Switch</t>
  </si>
  <si>
    <t>Module</t>
  </si>
  <si>
    <t>IC</t>
  </si>
  <si>
    <t>Designator</t>
  </si>
  <si>
    <t>C1, C3, C4, C7, C13, C20</t>
  </si>
  <si>
    <t>C2, C5, C8, C10, C11, C12, C14, C15, C16, C17, C18, C19, C21, C22, C23</t>
  </si>
  <si>
    <t>C6, C9</t>
  </si>
  <si>
    <t>D1</t>
  </si>
  <si>
    <t>D3</t>
  </si>
  <si>
    <t>F1</t>
  </si>
  <si>
    <t>FB1</t>
  </si>
  <si>
    <t>J1</t>
  </si>
  <si>
    <t>J2</t>
  </si>
  <si>
    <t>J3</t>
  </si>
  <si>
    <t>LED2</t>
  </si>
  <si>
    <t>LED4, LED5, LED6, LED7, LED8, LED9</t>
  </si>
  <si>
    <t>Q1</t>
  </si>
  <si>
    <t>Q2</t>
  </si>
  <si>
    <t>R1, R4, R6, R9, R10, R13, R14</t>
  </si>
  <si>
    <t>R3</t>
  </si>
  <si>
    <t>R5, R12</t>
  </si>
  <si>
    <t>R7</t>
  </si>
  <si>
    <t>R15</t>
  </si>
  <si>
    <t>SW1, SW2</t>
  </si>
  <si>
    <t>SW3</t>
  </si>
  <si>
    <t>SW4</t>
  </si>
  <si>
    <t>U1</t>
  </si>
  <si>
    <t>U2</t>
  </si>
  <si>
    <t>U3</t>
  </si>
  <si>
    <t>Description</t>
  </si>
  <si>
    <t>CAP CER 1UF 25V X5R 0603</t>
  </si>
  <si>
    <t>CAP CER 0.1UF 25V X5R 0402</t>
  </si>
  <si>
    <t>CAP CER 10UF 16V X5R 0603</t>
  </si>
  <si>
    <t>TVS DIODE 5VWM 6.3VC DSN0603-2</t>
  </si>
  <si>
    <t>DIODE SCHOTTKY 20V 1A SOD123FL</t>
  </si>
  <si>
    <t>6V 2A 50A 1W -40℃~+85℃ 4A 4mΩ 5s 45mΩ 0805 Resettable Fuses ROHS</t>
  </si>
  <si>
    <t>FERRITE BEAD 120 OHM 0603 1LN</t>
  </si>
  <si>
    <t>DC Power Receptacle 260℃ Brass -20℃~+70℃ 2.5mm 6mm 2.5A 24V Plugin AC/DC Power Connectors ROHS</t>
  </si>
  <si>
    <t>1x2P 1 1.25mm Male pin 2 -40℃~+85℃ Surface Mount SMD,P=1.25mm Wire To Board / Wire To Wire Connector ROHS</t>
  </si>
  <si>
    <t>1x6P SH 1 1mm 6 SMD,P=1mm Wire To Board / Wire To Wire Connector ROHS</t>
  </si>
  <si>
    <t>0603 Light Emitting Diodes (LED) ROHS</t>
  </si>
  <si>
    <t>SMD5050 Light Emitting Diodes (LED) ROHS</t>
  </si>
  <si>
    <t>N-CHANNEL 20-V (D-S) MOSFET</t>
  </si>
  <si>
    <t>Trans Mosfet P-ch 30V 4A 3-PIN SOT-23 T/r</t>
  </si>
  <si>
    <t>RES SMD 10K Ohm 1% 1/10W 0603</t>
  </si>
  <si>
    <t>RES 56K OHM 1% 1/16W 0402</t>
  </si>
  <si>
    <t>RES 100K OHM 5% 1/10W 0603</t>
  </si>
  <si>
    <t>RES  SMD 330R 100 mW 0603</t>
  </si>
  <si>
    <t>RES SMD 1K OHM 1% 1/10W 0603</t>
  </si>
  <si>
    <t>50mA Brick nogging SPST 100MΩ 1000000 times 250gf@±30gf 12V SMD Tactile Switches ROHS</t>
  </si>
  <si>
    <t>No NO 50mA 100MΩ 100000 Times 12V 130gf@±30gf Brick nogging SPST SMD Tactile Switches ROHS</t>
  </si>
  <si>
    <t>50mA Lying SPST 24V Plugin Tactile Switches ROHS</t>
  </si>
  <si>
    <t>ESOP-8 Battery Management ICs ROHS</t>
  </si>
  <si>
    <t>RF TXRX MODULE BT PCB TRACE SMD</t>
  </si>
  <si>
    <t>500-MA, LOW-NOISE, LOW-IQ, HIGH</t>
  </si>
  <si>
    <t>Footprint</t>
  </si>
  <si>
    <t>Cap-0603</t>
  </si>
  <si>
    <t>Cap-0402</t>
  </si>
  <si>
    <t>DSN0603-2</t>
  </si>
  <si>
    <t>SOD-123</t>
  </si>
  <si>
    <t>Fuse-0805</t>
  </si>
  <si>
    <t>IND-0603 (1608 Metric)</t>
  </si>
  <si>
    <t>DC-0360-2.5</t>
  </si>
  <si>
    <t>1.25-2PWB</t>
  </si>
  <si>
    <t>LED-0603</t>
  </si>
  <si>
    <t>WS2812B-XF02/W</t>
  </si>
  <si>
    <t>Sot-23</t>
  </si>
  <si>
    <t>SOT-23</t>
  </si>
  <si>
    <t>Res-0603</t>
  </si>
  <si>
    <t>Res-0402</t>
  </si>
  <si>
    <t>K2-6639SP-C4SC-04</t>
  </si>
  <si>
    <t>GT-TC074E-H080-L1</t>
  </si>
  <si>
    <t>1825027-8</t>
  </si>
  <si>
    <t>ESOP-8</t>
  </si>
  <si>
    <t>38-SMD Module</t>
  </si>
  <si>
    <t>4-WCSP (0.63x0.63)</t>
  </si>
  <si>
    <t>Manufacturer Part Number</t>
  </si>
  <si>
    <t>CC0603KRX5R8BB105</t>
  </si>
  <si>
    <t>CC0402KRX5R8BB104</t>
  </si>
  <si>
    <t>CC0603KRX5R7BB106</t>
  </si>
  <si>
    <t>PESD5V0H1BSFYL</t>
  </si>
  <si>
    <t>MBR120VLSFT3G</t>
  </si>
  <si>
    <t>BSMD0805L-200</t>
  </si>
  <si>
    <t>BLM18SG121TN1D</t>
  </si>
  <si>
    <t>C145963</t>
  </si>
  <si>
    <t>NCD0603R3</t>
  </si>
  <si>
    <t>SI2302CDS</t>
  </si>
  <si>
    <t>AO3401A</t>
  </si>
  <si>
    <t>RC0603FR-0710KL</t>
  </si>
  <si>
    <t>RC0402FR-0756KL</t>
  </si>
  <si>
    <t>RC0603JR-07100KL</t>
  </si>
  <si>
    <t>RC0603JR-07330RL</t>
  </si>
  <si>
    <t>RC0603FR-071KL</t>
  </si>
  <si>
    <t>TP4056-42-ESOP8</t>
  </si>
  <si>
    <t>ESP32-WROOM-32E-N8R2</t>
  </si>
  <si>
    <t>TPS7A2133PYWDJ</t>
  </si>
  <si>
    <t>Manufacturer</t>
  </si>
  <si>
    <t>Yageo</t>
  </si>
  <si>
    <t>Nexperia</t>
  </si>
  <si>
    <t>ON Semiconductor</t>
  </si>
  <si>
    <t>BHFUSE</t>
  </si>
  <si>
    <t>Murata</t>
  </si>
  <si>
    <t>XKB Connectivity</t>
  </si>
  <si>
    <t>DEALON</t>
  </si>
  <si>
    <t>BOOMELE</t>
  </si>
  <si>
    <t>Foshan NationStar Optoelectronics</t>
  </si>
  <si>
    <t>Worldsemi</t>
  </si>
  <si>
    <t>TECH PUBLIC</t>
  </si>
  <si>
    <t>Alpha &amp; Omega Semiconductor</t>
  </si>
  <si>
    <t>Korean Hroparts Elec</t>
  </si>
  <si>
    <t>G-Switch</t>
  </si>
  <si>
    <t>TE Connectivity</t>
  </si>
  <si>
    <t>TOPPOWER</t>
  </si>
  <si>
    <t>Espressif Systems</t>
  </si>
  <si>
    <t>Texas Instruments</t>
  </si>
  <si>
    <t>LCSC Part Number</t>
  </si>
  <si>
    <t>C14664</t>
  </si>
  <si>
    <t>C106256</t>
  </si>
  <si>
    <t>C2936601</t>
  </si>
  <si>
    <t>C477989</t>
  </si>
  <si>
    <t>C295749</t>
  </si>
  <si>
    <t>C2757931</t>
  </si>
  <si>
    <t>C113030</t>
  </si>
  <si>
    <t>C319122</t>
  </si>
  <si>
    <t>C2905009</t>
  </si>
  <si>
    <t>C3151730</t>
  </si>
  <si>
    <t>C4154882</t>
  </si>
  <si>
    <t>C5310968</t>
  </si>
  <si>
    <t>C181091</t>
  </si>
  <si>
    <t>C98220</t>
  </si>
  <si>
    <t>C114756</t>
  </si>
  <si>
    <t>C100048</t>
  </si>
  <si>
    <t>C105879</t>
  </si>
  <si>
    <t>C22548</t>
  </si>
  <si>
    <t>C83206</t>
  </si>
  <si>
    <t>C963229</t>
  </si>
  <si>
    <t>C16581</t>
  </si>
  <si>
    <t>C5361945</t>
  </si>
  <si>
    <t>C3019997</t>
  </si>
  <si>
    <t>1uF</t>
  </si>
  <si>
    <t>100nF</t>
  </si>
  <si>
    <t>10uF</t>
  </si>
  <si>
    <t>10K</t>
  </si>
  <si>
    <t>56k</t>
  </si>
  <si>
    <t>100K</t>
  </si>
  <si>
    <t>330R</t>
  </si>
  <si>
    <t>1K</t>
  </si>
  <si>
    <t>Quantity</t>
  </si>
  <si>
    <t>Bill of Materials for Project [IoT-Button v1.3]</t>
  </si>
  <si>
    <t>IoT-Button v1.3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</si>
  <si>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</si>
  <si>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</si>
  <si>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</si>
  <si>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</si>
  <si>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</si>
  <si>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</si>
  <si>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</si>
  <si>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</si>
  <si>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</si>
  <si>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LCSC</t>
  </si>
  <si>
    <t>-</t>
  </si>
  <si>
    <t>Battery</t>
  </si>
  <si>
    <t>Peripheral</t>
  </si>
  <si>
    <t>3.7V 250mAh 402035 JST 1.25mm lithium polymer li ion rechargeable battery Lipo cells for MP3 MP4 GPS bluetooth headset video pen</t>
  </si>
  <si>
    <t>Aliexpress</t>
  </si>
  <si>
    <t>Adaptor</t>
  </si>
  <si>
    <t>Black universal American Canada Japan power charger 100-240V US AC to DC 5.5*2.5mm power adapter 1A 3V/5V/6V/7V/9V/12V optional</t>
  </si>
  <si>
    <t xml:space="preserve">Programmer </t>
  </si>
  <si>
    <t>Tinde</t>
  </si>
  <si>
    <t>VoltLink CP2102N USB Serial Adapter &amp; Programmer</t>
  </si>
  <si>
    <t>Custom</t>
  </si>
  <si>
    <t>C266196</t>
  </si>
  <si>
    <t>Screws</t>
  </si>
  <si>
    <t>(M2 Screw Lentgh 4mm), (M2 Screw Lentgh 5mm), (M2 Screw Lentgh 6mm)</t>
  </si>
  <si>
    <t xml:space="preserve">Multiple Lentgh Screw Required Price not Confirm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</si>
</sst>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0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1" xfId="0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166" fontId="18" fillId="2" borderId="16" xfId="0" applyNumberFormat="1" applyFont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/>
    </xf>
    <xf numFmtId="0" fontId="22" fillId="2" borderId="16" xfId="1" applyFill="1" applyBorder="1" applyAlignment="1">
      <alignment horizontal="center" vertical="center"/>
    </xf>
    <xf numFmtId="165" fontId="18" fillId="2" borderId="16" xfId="0" applyNumberFormat="1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Resettable-Fuses_BHFUSE-BSMD0805L-200_C2757931.html" TargetMode="External"/><Relationship Id="rId13" Type="http://schemas.openxmlformats.org/officeDocument/2006/relationships/hyperlink" Target="https://www.lcsc.com/product-detail/AC-DC-Power-Connectors_XKB-Connectivity-DC-0360-2-5_C319122.html" TargetMode="External"/><Relationship Id="rId18" Type="http://schemas.openxmlformats.org/officeDocument/2006/relationships/hyperlink" Target="https://www.lcsc.com/product-detail/MOSFETs_TECH-PUBLIC-SI2302CDS_C5310968.html" TargetMode="External"/><Relationship Id="rId26" Type="http://schemas.openxmlformats.org/officeDocument/2006/relationships/hyperlink" Target="https://www.lcsc.com/product-detail/Battery-Management-ICs_TOPPOWER-Nanjing-Extension-Microelectronics-TP4056-42-ESOP8_C16581.html" TargetMode="External"/><Relationship Id="rId3" Type="http://schemas.openxmlformats.org/officeDocument/2006/relationships/hyperlink" Target="https://vi.aliexpress.com/item/1005003745895927.html" TargetMode="External"/><Relationship Id="rId21" Type="http://schemas.openxmlformats.org/officeDocument/2006/relationships/hyperlink" Target="https://www.lcsc.com/product-detail/Chip-Resistor-Surface-Mount_YAGEO-RC0402FR-0756KL_C114756.html" TargetMode="External"/><Relationship Id="rId7" Type="http://schemas.openxmlformats.org/officeDocument/2006/relationships/hyperlink" Target="https://www.lcsc.com/product-detail/ESD-Protection-Devices_Nexperia-PESD5V0H1BSF_C477989.html" TargetMode="External"/><Relationship Id="rId12" Type="http://schemas.openxmlformats.org/officeDocument/2006/relationships/hyperlink" Target="https://www.lcsc.com/product-detail/Schottky-Barrier-Diodes-SBD_onsemi-MBR120VLSFT3G_C295749.html" TargetMode="External"/><Relationship Id="rId17" Type="http://schemas.openxmlformats.org/officeDocument/2006/relationships/hyperlink" Target="https://www.lcsc.com/product-detail/MOSFETs_Guangdong-Hottech-AO3401_C181091.html" TargetMode="External"/><Relationship Id="rId25" Type="http://schemas.openxmlformats.org/officeDocument/2006/relationships/hyperlink" Target="https://www.lcsc.com/product-detail/Tactile-Switches_TE-Connectivity-1825027-8_C266196.html" TargetMode="External"/><Relationship Id="rId2" Type="http://schemas.openxmlformats.org/officeDocument/2006/relationships/hyperlink" Target="https://vi.aliexpress.com/item/32840666810.html" TargetMode="External"/><Relationship Id="rId16" Type="http://schemas.openxmlformats.org/officeDocument/2006/relationships/hyperlink" Target="https://www.lcsc.com/product-detail/Light-Emitting-Diodes-LED_Worldsemi-WS2812B-XF02-W_C4154882.html" TargetMode="External"/><Relationship Id="rId20" Type="http://schemas.openxmlformats.org/officeDocument/2006/relationships/hyperlink" Target="https://www.lcsc.com/product-detail/Chip-Resistor-Surface-Mount_YAGEO-RC0603JR-07100KL_C100048.html" TargetMode="External"/><Relationship Id="rId29" Type="http://schemas.openxmlformats.org/officeDocument/2006/relationships/hyperlink" Target="https://www.lcsc.com/product-detail/WiFi-Modules_Espressif-Systems-ESP32-WROOM-32E-N8R2_C5361945.html" TargetMode="External"/><Relationship Id="rId1" Type="http://schemas.openxmlformats.org/officeDocument/2006/relationships/hyperlink" Target="https://www.lcsc.com/product-detail/Multilayer-Ceramic-Capacitors-MLCC-SMD-SMT_YAGEO-CC0402KRX5R8BB104_C106256.html" TargetMode="External"/><Relationship Id="rId6" Type="http://schemas.openxmlformats.org/officeDocument/2006/relationships/hyperlink" Target="https://www.lcsc.com/product-detail/Multilayer-Ceramic-Capacitors-MLCC-SMD-SMT_YAGEO-CC0603KRX5R7BB106_C2936601.html" TargetMode="External"/><Relationship Id="rId11" Type="http://schemas.openxmlformats.org/officeDocument/2006/relationships/hyperlink" Target="https://www.lcsc.com/product-detail/Wire-To-Board-Wire-To-Wire-Connector_BOOMELE-Boom-Precision-Elec-C145963_C145963.html" TargetMode="External"/><Relationship Id="rId24" Type="http://schemas.openxmlformats.org/officeDocument/2006/relationships/hyperlink" Target="https://www.lcsc.com/product-detail/Tactile-Switches_G-Switch-GT-TC074E-H080-L1_C963229.html" TargetMode="External"/><Relationship Id="rId5" Type="http://schemas.openxmlformats.org/officeDocument/2006/relationships/hyperlink" Target="https://www.lcsc.com/product-detail/Multilayer-Ceramic-Capacitors-MLCC-SMD-SMT_YAGEO-CC0603KRX5R8BB105_C14664.html" TargetMode="External"/><Relationship Id="rId15" Type="http://schemas.openxmlformats.org/officeDocument/2006/relationships/hyperlink" Target="https://www.lcsc.com/product-detail/Chip-Resistor-Surface-Mount_YAGEO-RC0603FR-0710KL_C98220.html" TargetMode="External"/><Relationship Id="rId23" Type="http://schemas.openxmlformats.org/officeDocument/2006/relationships/hyperlink" Target="https://www.lcsc.com/product-detail/Tactile-Switches_Korean-Hroparts-Elec-K2-6639SP-C4SC-04_C83206.html" TargetMode="External"/><Relationship Id="rId28" Type="http://schemas.openxmlformats.org/officeDocument/2006/relationships/hyperlink" Target="https://vi.aliexpress.com/item/4000084880537.html?spm=a2g0o.productlist.main.17.b7047f20gyJFhs&amp;algo_pvid=d1c5752f-d603-4e8f-b5df-d537f3f4fbb0&amp;algo_exp_id=d1c5752f-d603-4e8f-b5df-d537f3f4fbb0-8&amp;pdp_npi=4%40dis%21EUR%211.97%210.92%21%21%212.11%210.99%21%402" TargetMode="External"/><Relationship Id="rId10" Type="http://schemas.openxmlformats.org/officeDocument/2006/relationships/hyperlink" Target="https://www.lcsc.com/product-detail/Wire-To-Board-Wire-To-Wire-Connector_DEALON-1-25-2PWB_C2905009.html" TargetMode="External"/><Relationship Id="rId19" Type="http://schemas.openxmlformats.org/officeDocument/2006/relationships/hyperlink" Target="https://www.lcsc.com/product-detail/Chip-Resistor-Surface-Mount_YAGEO-RC0603JR-07330RL_C105879.html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https://www.tindie.com/products/voltlog/voltlink-cp2102n-usb-serial-adapter-programmer/" TargetMode="External"/><Relationship Id="rId9" Type="http://schemas.openxmlformats.org/officeDocument/2006/relationships/hyperlink" Target="https://www.lcsc.com/product-detail/Ferrite-Beads_Murata-Electronics-BLM18SG121TN1D_C113030.html" TargetMode="External"/><Relationship Id="rId14" Type="http://schemas.openxmlformats.org/officeDocument/2006/relationships/hyperlink" Target="https://www.lcsc.com/product-detail/Light-Emitting-Diodes-LED_Foshan-NationStar-Optoelectronics-NCD0603R3_C3151730.html" TargetMode="External"/><Relationship Id="rId22" Type="http://schemas.openxmlformats.org/officeDocument/2006/relationships/hyperlink" Target="https://www.lcsc.com/product-detail/Chip-Resistor-Surface-Mount_YAGEO-RC0603FR-071KL_C22548.html" TargetMode="External"/><Relationship Id="rId27" Type="http://schemas.openxmlformats.org/officeDocument/2006/relationships/hyperlink" Target="https://www.lcsc.com/product-detail/Linear-Voltage-Regulators-LDO_Texas-Instruments-TPS7A2133PYWDJ_C3019997.html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40"/>
  <sheetViews>
    <sheetView tabSelected="1" topLeftCell="A28" workbookViewId="0">
      <selection activeCell="G45" sqref="G45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1.28515625" customWidth="1"/>
    <col min="16" max="16" width="18.7109375" bestFit="1" customWidth="1"/>
    <col min="17" max="17" width="19.28515625" bestFit="1" customWidth="1"/>
    <col min="18" max="18" width="11.28515625" customWidth="1"/>
    <col min="19" max="19" width="26.85546875" bestFit="1" customWidth="1"/>
    <col min="21" max="21" width="21.28515625" customWidth="1"/>
    <col min="22" max="22" width="25.2851562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8"/>
      <c r="L1" s="68"/>
      <c r="M1" s="68"/>
      <c r="N1" s="68"/>
      <c r="O1" s="68"/>
      <c r="P1" s="68"/>
      <c r="Q1" s="68"/>
      <c r="R1" s="68"/>
      <c r="S1" s="69"/>
    </row>
    <row r="2" spans="1:19" ht="32.25" thickBot="1" x14ac:dyDescent="0.3">
      <c r="A2" s="1"/>
      <c r="B2" s="21"/>
      <c r="C2" s="31"/>
      <c r="D2" s="11" t="s">
        <v>0</v>
      </c>
      <c r="E2" s="11"/>
      <c r="F2" s="54" t="s">
        <v>168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5" t="s">
        <v>169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0"/>
    </row>
    <row r="4" spans="1:19" x14ac:dyDescent="0.25">
      <c r="A4" s="1"/>
      <c r="B4" s="22"/>
      <c r="C4" s="32"/>
      <c r="D4" s="13" t="s">
        <v>2</v>
      </c>
      <c r="E4" s="13"/>
      <c r="F4" s="56" t="s">
        <v>169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1"/>
    </row>
    <row r="5" spans="1:19" x14ac:dyDescent="0.25">
      <c r="A5" s="1"/>
      <c r="B5" s="22"/>
      <c r="C5" s="32"/>
      <c r="D5" s="13" t="s">
        <v>3</v>
      </c>
      <c r="E5" s="13"/>
      <c r="F5" s="57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1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1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1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1"/>
    </row>
    <row r="9" spans="1:19" ht="15.75" thickBot="1" x14ac:dyDescent="0.3">
      <c r="A9" s="1"/>
      <c r="B9" s="30" t="s">
        <v>4</v>
      </c>
      <c r="C9" s="30" t="s">
        <v>8</v>
      </c>
      <c r="D9" s="30" t="s">
        <v>23</v>
      </c>
      <c r="E9" s="30" t="s">
        <v>49</v>
      </c>
      <c r="F9" s="30" t="s">
        <v>75</v>
      </c>
      <c r="G9" s="30" t="s">
        <v>96</v>
      </c>
      <c r="H9" s="30" t="s">
        <v>116</v>
      </c>
      <c r="I9" s="30" t="s">
        <v>170</v>
      </c>
      <c r="J9" s="30" t="s">
        <v>135</v>
      </c>
      <c r="K9" s="30" t="s">
        <v>171</v>
      </c>
      <c r="L9" s="30" t="s">
        <v>167</v>
      </c>
      <c r="M9" s="30" t="s">
        <v>172</v>
      </c>
      <c r="N9" s="30" t="s">
        <v>173</v>
      </c>
      <c r="O9" s="30" t="s">
        <v>174</v>
      </c>
      <c r="P9" s="30" t="s">
        <v>175</v>
      </c>
      <c r="Q9" s="30" t="s">
        <v>176</v>
      </c>
      <c r="R9" s="30" t="s">
        <v>177</v>
      </c>
      <c r="S9" s="30" t="s">
        <v>178</v>
      </c>
    </row>
    <row r="10" spans="1:19" x14ac:dyDescent="0.25">
      <c r="A10" s="1"/>
      <c r="B10" s="45">
        <f>ROW(B10) - ROW($B$9)</f>
        <v>1</v>
      </c>
      <c r="C10" s="53" t="s">
        <v>9</v>
      </c>
      <c r="D10" s="37" t="s">
        <v>24</v>
      </c>
      <c r="E10" s="37" t="s">
        <v>50</v>
      </c>
      <c r="F10" s="37" t="s">
        <v>76</v>
      </c>
      <c r="G10" s="37" t="s">
        <v>97</v>
      </c>
      <c r="H10" s="37" t="s">
        <v>117</v>
      </c>
      <c r="I10" s="37" t="s">
        <v>180</v>
      </c>
      <c r="J10" s="37" t="s">
        <v>136</v>
      </c>
      <c r="K10" s="37" t="s">
        <v>159</v>
      </c>
      <c r="L10" s="37">
        <v>6</v>
      </c>
      <c r="M10" s="37">
        <f>L10*5</f>
        <v>30</v>
      </c>
      <c r="N10" s="37">
        <v>100</v>
      </c>
      <c r="O10" s="59" t="s">
        <v>179</v>
      </c>
      <c r="P10" s="38">
        <v>5.1999999999999998E-3</v>
      </c>
      <c r="Q10" s="38">
        <f>P11*N11</f>
        <v>0.18</v>
      </c>
      <c r="R10" s="37"/>
      <c r="S10" s="49"/>
    </row>
    <row r="11" spans="1:19" ht="24" x14ac:dyDescent="0.25">
      <c r="A11" s="1"/>
      <c r="B11" s="46">
        <f t="shared" ref="B11:B33" si="0">ROW(B11) - ROW($B$9)</f>
        <v>2</v>
      </c>
      <c r="C11" s="53" t="s">
        <v>9</v>
      </c>
      <c r="D11" s="50" t="s">
        <v>25</v>
      </c>
      <c r="E11" s="50" t="s">
        <v>51</v>
      </c>
      <c r="F11" s="50" t="s">
        <v>77</v>
      </c>
      <c r="G11" s="50" t="s">
        <v>98</v>
      </c>
      <c r="H11" s="50" t="s">
        <v>117</v>
      </c>
      <c r="I11" s="50" t="s">
        <v>180</v>
      </c>
      <c r="J11" s="50" t="s">
        <v>137</v>
      </c>
      <c r="K11" s="50" t="s">
        <v>160</v>
      </c>
      <c r="L11" s="50">
        <v>15</v>
      </c>
      <c r="M11" s="50">
        <f t="shared" ref="M11" si="1">L11*5</f>
        <v>75</v>
      </c>
      <c r="N11" s="37">
        <v>100</v>
      </c>
      <c r="O11" s="59" t="s">
        <v>179</v>
      </c>
      <c r="P11" s="38">
        <v>1.8E-3</v>
      </c>
      <c r="Q11" s="38">
        <f>P12*N12</f>
        <v>2.0579999999999998</v>
      </c>
      <c r="R11" s="50"/>
      <c r="S11" s="50"/>
    </row>
    <row r="12" spans="1:19" x14ac:dyDescent="0.25">
      <c r="A12" s="1"/>
      <c r="B12" s="45">
        <f>ROW(B12) - ROW($B$9)</f>
        <v>3</v>
      </c>
      <c r="C12" s="52" t="s">
        <v>9</v>
      </c>
      <c r="D12" s="37" t="s">
        <v>26</v>
      </c>
      <c r="E12" s="37" t="s">
        <v>52</v>
      </c>
      <c r="F12" s="37" t="s">
        <v>76</v>
      </c>
      <c r="G12" s="37" t="s">
        <v>99</v>
      </c>
      <c r="H12" s="37" t="s">
        <v>117</v>
      </c>
      <c r="I12" s="37" t="s">
        <v>180</v>
      </c>
      <c r="J12" s="37" t="s">
        <v>138</v>
      </c>
      <c r="K12" s="37" t="s">
        <v>161</v>
      </c>
      <c r="L12" s="37">
        <v>2</v>
      </c>
      <c r="M12" s="37">
        <f>L12*5</f>
        <v>10</v>
      </c>
      <c r="N12" s="37">
        <v>15</v>
      </c>
      <c r="O12" s="59" t="s">
        <v>179</v>
      </c>
      <c r="P12" s="38">
        <v>0.13719999999999999</v>
      </c>
      <c r="Q12" s="38">
        <f>P12*N12</f>
        <v>2.0579999999999998</v>
      </c>
      <c r="R12" s="37"/>
      <c r="S12" s="58"/>
    </row>
    <row r="13" spans="1:19" x14ac:dyDescent="0.25">
      <c r="A13" s="1"/>
      <c r="B13" s="46">
        <f t="shared" si="0"/>
        <v>4</v>
      </c>
      <c r="C13" s="53" t="s">
        <v>10</v>
      </c>
      <c r="D13" s="50" t="s">
        <v>27</v>
      </c>
      <c r="E13" s="50" t="s">
        <v>53</v>
      </c>
      <c r="F13" s="50" t="s">
        <v>78</v>
      </c>
      <c r="G13" s="50" t="s">
        <v>100</v>
      </c>
      <c r="H13" s="50" t="s">
        <v>118</v>
      </c>
      <c r="I13" s="37" t="s">
        <v>180</v>
      </c>
      <c r="J13" s="50" t="s">
        <v>139</v>
      </c>
      <c r="K13" s="50" t="s">
        <v>180</v>
      </c>
      <c r="L13" s="50">
        <v>1</v>
      </c>
      <c r="M13" s="50">
        <f t="shared" ref="M13" si="2">L13*5</f>
        <v>5</v>
      </c>
      <c r="N13" s="37">
        <v>10</v>
      </c>
      <c r="O13" s="59" t="s">
        <v>179</v>
      </c>
      <c r="P13" s="38">
        <v>3.4099999999999998E-2</v>
      </c>
      <c r="Q13" s="51">
        <f t="shared" ref="Q13" si="3">P13*N13</f>
        <v>0.34099999999999997</v>
      </c>
      <c r="R13" s="50"/>
      <c r="S13" s="58"/>
    </row>
    <row r="14" spans="1:19" x14ac:dyDescent="0.25">
      <c r="A14" s="1"/>
      <c r="B14" s="45">
        <f>ROW(B14) - ROW($B$9)</f>
        <v>5</v>
      </c>
      <c r="C14" s="53" t="s">
        <v>10</v>
      </c>
      <c r="D14" s="37" t="s">
        <v>28</v>
      </c>
      <c r="E14" s="37" t="s">
        <v>54</v>
      </c>
      <c r="F14" s="37" t="s">
        <v>79</v>
      </c>
      <c r="G14" s="37" t="s">
        <v>101</v>
      </c>
      <c r="H14" s="37" t="s">
        <v>119</v>
      </c>
      <c r="I14" s="37" t="s">
        <v>180</v>
      </c>
      <c r="J14" s="37" t="s">
        <v>140</v>
      </c>
      <c r="K14" s="37" t="s">
        <v>180</v>
      </c>
      <c r="L14" s="37">
        <v>1</v>
      </c>
      <c r="M14" s="37">
        <f>L14*5</f>
        <v>5</v>
      </c>
      <c r="N14" s="50">
        <v>6</v>
      </c>
      <c r="O14" s="61" t="s">
        <v>179</v>
      </c>
      <c r="P14" s="51">
        <v>0.82730000000000004</v>
      </c>
      <c r="Q14" s="38">
        <f>P14*N14</f>
        <v>4.9638</v>
      </c>
      <c r="R14" s="37"/>
      <c r="S14" s="58"/>
    </row>
    <row r="15" spans="1:19" ht="24" x14ac:dyDescent="0.25">
      <c r="A15" s="1"/>
      <c r="B15" s="46">
        <f t="shared" si="0"/>
        <v>6</v>
      </c>
      <c r="C15" s="53" t="s">
        <v>11</v>
      </c>
      <c r="D15" s="50" t="s">
        <v>29</v>
      </c>
      <c r="E15" s="50" t="s">
        <v>55</v>
      </c>
      <c r="F15" s="50" t="s">
        <v>80</v>
      </c>
      <c r="G15" s="50" t="s">
        <v>102</v>
      </c>
      <c r="H15" s="50" t="s">
        <v>120</v>
      </c>
      <c r="I15" s="37" t="s">
        <v>180</v>
      </c>
      <c r="J15" s="50" t="s">
        <v>141</v>
      </c>
      <c r="K15" s="50" t="s">
        <v>180</v>
      </c>
      <c r="L15" s="50">
        <v>1</v>
      </c>
      <c r="M15" s="50">
        <f t="shared" ref="M15" si="4">L15*5</f>
        <v>5</v>
      </c>
      <c r="N15" s="37">
        <v>10</v>
      </c>
      <c r="O15" s="59" t="s">
        <v>179</v>
      </c>
      <c r="P15" s="38">
        <v>9.3299999999999994E-2</v>
      </c>
      <c r="Q15" s="51">
        <f t="shared" ref="Q15" si="5">P15*N15</f>
        <v>0.93299999999999994</v>
      </c>
      <c r="R15" s="50"/>
      <c r="S15" s="58"/>
    </row>
    <row r="16" spans="1:19" x14ac:dyDescent="0.25">
      <c r="A16" s="1"/>
      <c r="B16" s="45">
        <f>ROW(B16) - ROW($B$9)</f>
        <v>7</v>
      </c>
      <c r="C16" s="52" t="s">
        <v>12</v>
      </c>
      <c r="D16" s="37" t="s">
        <v>30</v>
      </c>
      <c r="E16" s="37" t="s">
        <v>56</v>
      </c>
      <c r="F16" s="37" t="s">
        <v>81</v>
      </c>
      <c r="G16" s="37" t="s">
        <v>103</v>
      </c>
      <c r="H16" s="37" t="s">
        <v>121</v>
      </c>
      <c r="I16" s="37" t="s">
        <v>180</v>
      </c>
      <c r="J16" s="37" t="s">
        <v>142</v>
      </c>
      <c r="K16" s="50" t="s">
        <v>180</v>
      </c>
      <c r="L16" s="37">
        <v>1</v>
      </c>
      <c r="M16" s="37">
        <f>L16*5</f>
        <v>5</v>
      </c>
      <c r="N16" s="50">
        <v>20</v>
      </c>
      <c r="O16" s="61" t="s">
        <v>179</v>
      </c>
      <c r="P16" s="51">
        <v>2.7199999999999998E-2</v>
      </c>
      <c r="Q16" s="38">
        <f>P16*N16</f>
        <v>0.54399999999999993</v>
      </c>
      <c r="R16" s="37"/>
      <c r="S16" s="58"/>
    </row>
    <row r="17" spans="1:19" ht="36" x14ac:dyDescent="0.25">
      <c r="A17" s="1"/>
      <c r="B17" s="46">
        <f t="shared" si="0"/>
        <v>8</v>
      </c>
      <c r="C17" s="53" t="s">
        <v>13</v>
      </c>
      <c r="D17" s="50" t="s">
        <v>31</v>
      </c>
      <c r="E17" s="50" t="s">
        <v>57</v>
      </c>
      <c r="F17" s="50" t="s">
        <v>190</v>
      </c>
      <c r="G17" s="50" t="s">
        <v>82</v>
      </c>
      <c r="H17" s="50" t="s">
        <v>122</v>
      </c>
      <c r="I17" s="37" t="s">
        <v>180</v>
      </c>
      <c r="J17" s="50" t="s">
        <v>143</v>
      </c>
      <c r="K17" s="50" t="s">
        <v>180</v>
      </c>
      <c r="L17" s="50">
        <v>1</v>
      </c>
      <c r="M17" s="50">
        <f t="shared" ref="M17" si="6">L17*5</f>
        <v>5</v>
      </c>
      <c r="N17" s="50">
        <v>10</v>
      </c>
      <c r="O17" s="59" t="s">
        <v>179</v>
      </c>
      <c r="P17" s="38">
        <v>0.1318</v>
      </c>
      <c r="Q17" s="51">
        <f t="shared" ref="Q17" si="7">P17*N17</f>
        <v>1.3180000000000001</v>
      </c>
      <c r="R17" s="50"/>
      <c r="S17" s="58"/>
    </row>
    <row r="18" spans="1:19" ht="48" x14ac:dyDescent="0.25">
      <c r="A18" s="1"/>
      <c r="B18" s="45">
        <f>ROW(B18) - ROW($B$9)</f>
        <v>9</v>
      </c>
      <c r="C18" s="52" t="s">
        <v>14</v>
      </c>
      <c r="D18" s="37" t="s">
        <v>32</v>
      </c>
      <c r="E18" s="37" t="s">
        <v>58</v>
      </c>
      <c r="F18" s="50" t="s">
        <v>190</v>
      </c>
      <c r="G18" s="37" t="s">
        <v>83</v>
      </c>
      <c r="H18" s="37" t="s">
        <v>123</v>
      </c>
      <c r="I18" s="37" t="s">
        <v>180</v>
      </c>
      <c r="J18" s="37" t="s">
        <v>144</v>
      </c>
      <c r="K18" s="50" t="s">
        <v>180</v>
      </c>
      <c r="L18" s="37">
        <v>1</v>
      </c>
      <c r="M18" s="37">
        <f>L18*5</f>
        <v>5</v>
      </c>
      <c r="N18" s="50">
        <v>20</v>
      </c>
      <c r="O18" s="61" t="s">
        <v>179</v>
      </c>
      <c r="P18" s="51">
        <v>2.1700000000000001E-2</v>
      </c>
      <c r="Q18" s="38">
        <f>P18*N18</f>
        <v>0.434</v>
      </c>
      <c r="R18" s="37"/>
      <c r="S18" s="58"/>
    </row>
    <row r="19" spans="1:19" ht="24" x14ac:dyDescent="0.25">
      <c r="A19" s="1"/>
      <c r="B19" s="46">
        <f t="shared" si="0"/>
        <v>10</v>
      </c>
      <c r="C19" s="53" t="s">
        <v>15</v>
      </c>
      <c r="D19" s="50" t="s">
        <v>33</v>
      </c>
      <c r="E19" s="50" t="s">
        <v>59</v>
      </c>
      <c r="F19" s="50" t="s">
        <v>190</v>
      </c>
      <c r="G19" s="50" t="s">
        <v>104</v>
      </c>
      <c r="H19" s="50" t="s">
        <v>124</v>
      </c>
      <c r="I19" s="37" t="s">
        <v>180</v>
      </c>
      <c r="J19" s="50" t="s">
        <v>104</v>
      </c>
      <c r="K19" s="50" t="s">
        <v>180</v>
      </c>
      <c r="L19" s="50">
        <v>1</v>
      </c>
      <c r="M19" s="50">
        <f t="shared" ref="M19" si="8">L19*5</f>
        <v>5</v>
      </c>
      <c r="N19" s="37">
        <v>12</v>
      </c>
      <c r="O19" s="59" t="s">
        <v>179</v>
      </c>
      <c r="P19" s="38">
        <v>6.8000000000000005E-2</v>
      </c>
      <c r="Q19" s="51">
        <f t="shared" ref="Q19" si="9">P19*N19</f>
        <v>0.81600000000000006</v>
      </c>
      <c r="R19" s="50"/>
      <c r="S19" s="58"/>
    </row>
    <row r="20" spans="1:19" ht="24" x14ac:dyDescent="0.25">
      <c r="A20" s="1"/>
      <c r="B20" s="45">
        <f>ROW(B20) - ROW($B$9)</f>
        <v>11</v>
      </c>
      <c r="C20" s="52" t="s">
        <v>16</v>
      </c>
      <c r="D20" s="37" t="s">
        <v>34</v>
      </c>
      <c r="E20" s="37" t="s">
        <v>60</v>
      </c>
      <c r="F20" s="37" t="s">
        <v>84</v>
      </c>
      <c r="G20" s="37" t="s">
        <v>105</v>
      </c>
      <c r="H20" s="37" t="s">
        <v>125</v>
      </c>
      <c r="I20" s="37" t="s">
        <v>180</v>
      </c>
      <c r="J20" s="37" t="s">
        <v>145</v>
      </c>
      <c r="K20" s="50" t="s">
        <v>180</v>
      </c>
      <c r="L20" s="37">
        <v>1</v>
      </c>
      <c r="M20" s="37">
        <f>L20*5</f>
        <v>5</v>
      </c>
      <c r="N20" s="50">
        <v>20</v>
      </c>
      <c r="O20" s="61" t="s">
        <v>179</v>
      </c>
      <c r="P20" s="51">
        <v>2.0799999999999999E-2</v>
      </c>
      <c r="Q20" s="38">
        <f>P20*N20</f>
        <v>0.41599999999999998</v>
      </c>
      <c r="R20" s="37"/>
      <c r="S20" s="58"/>
    </row>
    <row r="21" spans="1:19" ht="24" x14ac:dyDescent="0.25">
      <c r="A21" s="1"/>
      <c r="B21" s="46">
        <f t="shared" si="0"/>
        <v>12</v>
      </c>
      <c r="C21" s="53" t="s">
        <v>17</v>
      </c>
      <c r="D21" s="50" t="s">
        <v>35</v>
      </c>
      <c r="E21" s="50" t="s">
        <v>61</v>
      </c>
      <c r="F21" s="50" t="s">
        <v>190</v>
      </c>
      <c r="G21" s="50" t="s">
        <v>85</v>
      </c>
      <c r="H21" s="50" t="s">
        <v>126</v>
      </c>
      <c r="I21" s="37" t="s">
        <v>180</v>
      </c>
      <c r="J21" s="50" t="s">
        <v>146</v>
      </c>
      <c r="K21" s="50" t="s">
        <v>180</v>
      </c>
      <c r="L21" s="50">
        <v>6</v>
      </c>
      <c r="M21" s="50">
        <f t="shared" ref="M21" si="10">L21*5</f>
        <v>30</v>
      </c>
      <c r="N21" s="37">
        <v>40</v>
      </c>
      <c r="O21" s="59" t="s">
        <v>179</v>
      </c>
      <c r="P21" s="38">
        <v>6.1699999999999998E-2</v>
      </c>
      <c r="Q21" s="51">
        <f t="shared" ref="Q21" si="11">P21*N21</f>
        <v>2.468</v>
      </c>
      <c r="R21" s="50"/>
      <c r="S21" s="58"/>
    </row>
    <row r="22" spans="1:19" x14ac:dyDescent="0.25">
      <c r="A22" s="1"/>
      <c r="B22" s="45">
        <f>ROW(B22) - ROW($B$9)</f>
        <v>13</v>
      </c>
      <c r="C22" s="52" t="s">
        <v>18</v>
      </c>
      <c r="D22" s="37" t="s">
        <v>36</v>
      </c>
      <c r="E22" s="37" t="s">
        <v>62</v>
      </c>
      <c r="F22" s="37" t="s">
        <v>86</v>
      </c>
      <c r="G22" s="37" t="s">
        <v>106</v>
      </c>
      <c r="H22" s="37" t="s">
        <v>127</v>
      </c>
      <c r="I22" s="37" t="s">
        <v>180</v>
      </c>
      <c r="J22" s="37" t="s">
        <v>147</v>
      </c>
      <c r="K22" s="50" t="s">
        <v>180</v>
      </c>
      <c r="L22" s="37">
        <v>1</v>
      </c>
      <c r="M22" s="37">
        <f>L22*5</f>
        <v>5</v>
      </c>
      <c r="N22" s="37">
        <v>20</v>
      </c>
      <c r="O22" s="59" t="s">
        <v>179</v>
      </c>
      <c r="P22" s="38">
        <v>3.4099999999999998E-2</v>
      </c>
      <c r="Q22" s="38">
        <f>P22*N22</f>
        <v>0.68199999999999994</v>
      </c>
      <c r="R22" s="37"/>
      <c r="S22" s="58"/>
    </row>
    <row r="23" spans="1:19" ht="24" x14ac:dyDescent="0.25">
      <c r="A23" s="1"/>
      <c r="B23" s="46">
        <f t="shared" si="0"/>
        <v>14</v>
      </c>
      <c r="C23" s="53" t="s">
        <v>18</v>
      </c>
      <c r="D23" s="50" t="s">
        <v>37</v>
      </c>
      <c r="E23" s="50" t="s">
        <v>63</v>
      </c>
      <c r="F23" s="50" t="s">
        <v>87</v>
      </c>
      <c r="G23" s="50" t="s">
        <v>107</v>
      </c>
      <c r="H23" s="50" t="s">
        <v>128</v>
      </c>
      <c r="I23" s="37" t="s">
        <v>180</v>
      </c>
      <c r="J23" s="50" t="s">
        <v>148</v>
      </c>
      <c r="K23" s="50" t="s">
        <v>180</v>
      </c>
      <c r="L23" s="50">
        <v>1</v>
      </c>
      <c r="M23" s="50">
        <f t="shared" ref="M23" si="12">L23*5</f>
        <v>5</v>
      </c>
      <c r="N23" s="62">
        <v>20</v>
      </c>
      <c r="O23" s="63" t="s">
        <v>179</v>
      </c>
      <c r="P23" s="64">
        <v>2.9399999999999999E-2</v>
      </c>
      <c r="Q23" s="51">
        <f t="shared" ref="Q23" si="13">P23*N23</f>
        <v>0.58799999999999997</v>
      </c>
      <c r="R23" s="50"/>
      <c r="S23" s="58"/>
    </row>
    <row r="24" spans="1:19" x14ac:dyDescent="0.25">
      <c r="A24" s="1"/>
      <c r="B24" s="45">
        <f>ROW(B24) - ROW($B$9)</f>
        <v>15</v>
      </c>
      <c r="C24" s="52" t="s">
        <v>19</v>
      </c>
      <c r="D24" s="37" t="s">
        <v>38</v>
      </c>
      <c r="E24" s="37" t="s">
        <v>64</v>
      </c>
      <c r="F24" s="37" t="s">
        <v>88</v>
      </c>
      <c r="G24" s="37" t="s">
        <v>108</v>
      </c>
      <c r="H24" s="37" t="s">
        <v>117</v>
      </c>
      <c r="I24" s="37" t="s">
        <v>180</v>
      </c>
      <c r="J24" s="37" t="s">
        <v>149</v>
      </c>
      <c r="K24" s="37" t="s">
        <v>162</v>
      </c>
      <c r="L24" s="37">
        <v>7</v>
      </c>
      <c r="M24" s="37">
        <f>L24*5</f>
        <v>35</v>
      </c>
      <c r="N24" s="37">
        <v>100</v>
      </c>
      <c r="O24" s="59" t="s">
        <v>179</v>
      </c>
      <c r="P24" s="38">
        <v>1E-3</v>
      </c>
      <c r="Q24" s="38">
        <f>P24*N24</f>
        <v>0.1</v>
      </c>
      <c r="R24" s="37"/>
      <c r="S24" s="58"/>
    </row>
    <row r="25" spans="1:19" x14ac:dyDescent="0.25">
      <c r="A25" s="1"/>
      <c r="B25" s="46">
        <f t="shared" si="0"/>
        <v>16</v>
      </c>
      <c r="C25" s="53" t="s">
        <v>19</v>
      </c>
      <c r="D25" s="50" t="s">
        <v>39</v>
      </c>
      <c r="E25" s="50" t="s">
        <v>65</v>
      </c>
      <c r="F25" s="50" t="s">
        <v>89</v>
      </c>
      <c r="G25" s="50" t="s">
        <v>109</v>
      </c>
      <c r="H25" s="50" t="s">
        <v>117</v>
      </c>
      <c r="I25" s="37" t="s">
        <v>180</v>
      </c>
      <c r="J25" s="50" t="s">
        <v>150</v>
      </c>
      <c r="K25" s="50" t="s">
        <v>163</v>
      </c>
      <c r="L25" s="50">
        <v>1</v>
      </c>
      <c r="M25" s="50">
        <f t="shared" ref="M25" si="14">L25*5</f>
        <v>5</v>
      </c>
      <c r="N25" s="37">
        <v>100</v>
      </c>
      <c r="O25" s="59" t="s">
        <v>179</v>
      </c>
      <c r="P25" s="38">
        <v>6.9999999999999999E-4</v>
      </c>
      <c r="Q25" s="51">
        <f t="shared" ref="Q25" si="15">P25*N25</f>
        <v>6.9999999999999993E-2</v>
      </c>
      <c r="R25" s="50"/>
      <c r="S25" s="58"/>
    </row>
    <row r="26" spans="1:19" x14ac:dyDescent="0.25">
      <c r="A26" s="1"/>
      <c r="B26" s="45">
        <f>ROW(B26) - ROW($B$9)</f>
        <v>17</v>
      </c>
      <c r="C26" s="52" t="s">
        <v>19</v>
      </c>
      <c r="D26" s="37" t="s">
        <v>40</v>
      </c>
      <c r="E26" s="37" t="s">
        <v>66</v>
      </c>
      <c r="F26" s="37" t="s">
        <v>88</v>
      </c>
      <c r="G26" s="37" t="s">
        <v>110</v>
      </c>
      <c r="H26" s="37" t="s">
        <v>117</v>
      </c>
      <c r="I26" s="37" t="s">
        <v>180</v>
      </c>
      <c r="J26" s="37" t="s">
        <v>151</v>
      </c>
      <c r="K26" s="37" t="s">
        <v>164</v>
      </c>
      <c r="L26" s="37">
        <v>2</v>
      </c>
      <c r="M26" s="37">
        <f>L26*5</f>
        <v>10</v>
      </c>
      <c r="N26" s="37">
        <v>100</v>
      </c>
      <c r="O26" s="59" t="s">
        <v>179</v>
      </c>
      <c r="P26" s="38">
        <v>1.1000000000000001E-3</v>
      </c>
      <c r="Q26" s="38">
        <f>P26*N26</f>
        <v>0.11</v>
      </c>
      <c r="R26" s="37"/>
      <c r="S26" s="58"/>
    </row>
    <row r="27" spans="1:19" x14ac:dyDescent="0.25">
      <c r="A27" s="1"/>
      <c r="B27" s="46">
        <f t="shared" si="0"/>
        <v>18</v>
      </c>
      <c r="C27" s="52" t="s">
        <v>19</v>
      </c>
      <c r="D27" s="50" t="s">
        <v>41</v>
      </c>
      <c r="E27" s="50" t="s">
        <v>67</v>
      </c>
      <c r="F27" s="50" t="s">
        <v>88</v>
      </c>
      <c r="G27" s="50" t="s">
        <v>111</v>
      </c>
      <c r="H27" s="50" t="s">
        <v>117</v>
      </c>
      <c r="I27" s="37" t="s">
        <v>180</v>
      </c>
      <c r="J27" s="50" t="s">
        <v>152</v>
      </c>
      <c r="K27" s="50" t="s">
        <v>165</v>
      </c>
      <c r="L27" s="50">
        <v>1</v>
      </c>
      <c r="M27" s="50">
        <f t="shared" ref="M27" si="16">L27*5</f>
        <v>5</v>
      </c>
      <c r="N27" s="37">
        <v>100</v>
      </c>
      <c r="O27" s="59" t="s">
        <v>179</v>
      </c>
      <c r="P27" s="38">
        <v>1E-3</v>
      </c>
      <c r="Q27" s="51">
        <f t="shared" ref="Q27" si="17">P27*N27</f>
        <v>0.1</v>
      </c>
      <c r="R27" s="50"/>
      <c r="S27" s="58"/>
    </row>
    <row r="28" spans="1:19" x14ac:dyDescent="0.25">
      <c r="A28" s="1"/>
      <c r="B28" s="45">
        <f>ROW(B28) - ROW($B$9)</f>
        <v>19</v>
      </c>
      <c r="C28" s="52" t="s">
        <v>19</v>
      </c>
      <c r="D28" s="37" t="s">
        <v>42</v>
      </c>
      <c r="E28" s="37" t="s">
        <v>68</v>
      </c>
      <c r="F28" s="37" t="s">
        <v>88</v>
      </c>
      <c r="G28" s="37" t="s">
        <v>112</v>
      </c>
      <c r="H28" s="37" t="s">
        <v>117</v>
      </c>
      <c r="I28" s="37" t="s">
        <v>180</v>
      </c>
      <c r="J28" s="37" t="s">
        <v>153</v>
      </c>
      <c r="K28" s="37" t="s">
        <v>166</v>
      </c>
      <c r="L28" s="37">
        <v>1</v>
      </c>
      <c r="M28" s="37">
        <f>L28*5</f>
        <v>5</v>
      </c>
      <c r="N28" s="37">
        <v>100</v>
      </c>
      <c r="O28" s="59" t="s">
        <v>179</v>
      </c>
      <c r="P28" s="38">
        <v>1E-3</v>
      </c>
      <c r="Q28" s="51">
        <f>P28*N28</f>
        <v>0.1</v>
      </c>
      <c r="R28" s="37"/>
      <c r="S28" s="58"/>
    </row>
    <row r="29" spans="1:19" ht="36" x14ac:dyDescent="0.25">
      <c r="A29" s="1"/>
      <c r="B29" s="46">
        <f t="shared" si="0"/>
        <v>20</v>
      </c>
      <c r="C29" s="53" t="s">
        <v>20</v>
      </c>
      <c r="D29" s="50" t="s">
        <v>43</v>
      </c>
      <c r="E29" s="50" t="s">
        <v>69</v>
      </c>
      <c r="F29" s="50" t="s">
        <v>190</v>
      </c>
      <c r="G29" s="50" t="s">
        <v>90</v>
      </c>
      <c r="H29" s="50" t="s">
        <v>129</v>
      </c>
      <c r="I29" s="37" t="s">
        <v>180</v>
      </c>
      <c r="J29" s="50" t="s">
        <v>154</v>
      </c>
      <c r="K29" s="50" t="s">
        <v>180</v>
      </c>
      <c r="L29" s="50">
        <v>2</v>
      </c>
      <c r="M29" s="50">
        <f t="shared" ref="M29" si="18">L29*5</f>
        <v>10</v>
      </c>
      <c r="N29" s="50">
        <v>20</v>
      </c>
      <c r="O29" s="61" t="s">
        <v>179</v>
      </c>
      <c r="P29" s="51">
        <v>3.9899999999999998E-2</v>
      </c>
      <c r="Q29" s="51">
        <f t="shared" ref="Q29" si="19">P29*N29</f>
        <v>0.79799999999999993</v>
      </c>
      <c r="R29" s="50"/>
      <c r="S29" s="58"/>
    </row>
    <row r="30" spans="1:19" ht="36" x14ac:dyDescent="0.25">
      <c r="A30" s="1"/>
      <c r="B30" s="45">
        <f>ROW(B30) - ROW($B$9)</f>
        <v>21</v>
      </c>
      <c r="C30" s="52" t="s">
        <v>20</v>
      </c>
      <c r="D30" s="37" t="s">
        <v>44</v>
      </c>
      <c r="E30" s="37" t="s">
        <v>70</v>
      </c>
      <c r="F30" s="50" t="s">
        <v>190</v>
      </c>
      <c r="G30" s="37" t="s">
        <v>91</v>
      </c>
      <c r="H30" s="37" t="s">
        <v>130</v>
      </c>
      <c r="I30" s="37" t="s">
        <v>180</v>
      </c>
      <c r="J30" s="37" t="s">
        <v>155</v>
      </c>
      <c r="K30" s="50" t="s">
        <v>180</v>
      </c>
      <c r="L30" s="37">
        <v>1</v>
      </c>
      <c r="M30" s="37">
        <f>L30*5</f>
        <v>5</v>
      </c>
      <c r="N30" s="37">
        <v>10</v>
      </c>
      <c r="O30" s="59" t="s">
        <v>179</v>
      </c>
      <c r="P30" s="38">
        <v>5.6800000000000003E-2</v>
      </c>
      <c r="Q30" s="38">
        <f>P30*N30</f>
        <v>0.56800000000000006</v>
      </c>
      <c r="R30" s="37"/>
      <c r="S30" s="58"/>
    </row>
    <row r="31" spans="1:19" ht="24" x14ac:dyDescent="0.25">
      <c r="A31" s="1"/>
      <c r="B31" s="46">
        <f t="shared" si="0"/>
        <v>22</v>
      </c>
      <c r="C31" s="52" t="s">
        <v>20</v>
      </c>
      <c r="D31" s="50" t="s">
        <v>45</v>
      </c>
      <c r="E31" s="50" t="s">
        <v>71</v>
      </c>
      <c r="F31" s="50" t="s">
        <v>190</v>
      </c>
      <c r="G31" s="50" t="s">
        <v>92</v>
      </c>
      <c r="H31" s="50" t="s">
        <v>131</v>
      </c>
      <c r="I31" s="37" t="s">
        <v>180</v>
      </c>
      <c r="J31" s="37" t="s">
        <v>191</v>
      </c>
      <c r="K31" s="50" t="s">
        <v>180</v>
      </c>
      <c r="L31" s="50">
        <v>1</v>
      </c>
      <c r="M31" s="50">
        <f t="shared" ref="M31" si="20">L31*5</f>
        <v>5</v>
      </c>
      <c r="N31" s="37">
        <v>10</v>
      </c>
      <c r="O31" s="59" t="s">
        <v>179</v>
      </c>
      <c r="P31" s="38">
        <v>0.13020000000000001</v>
      </c>
      <c r="Q31" s="51">
        <f t="shared" ref="Q31" si="21">P31*N31</f>
        <v>1.302</v>
      </c>
      <c r="R31" s="50"/>
      <c r="S31" s="58"/>
    </row>
    <row r="32" spans="1:19" x14ac:dyDescent="0.25">
      <c r="A32" s="1"/>
      <c r="B32" s="45">
        <f>ROW(B32) - ROW($B$9)</f>
        <v>23</v>
      </c>
      <c r="C32" s="52" t="s">
        <v>18</v>
      </c>
      <c r="D32" s="37" t="s">
        <v>46</v>
      </c>
      <c r="E32" s="37" t="s">
        <v>72</v>
      </c>
      <c r="F32" s="37" t="s">
        <v>93</v>
      </c>
      <c r="G32" s="37" t="s">
        <v>113</v>
      </c>
      <c r="H32" s="37" t="s">
        <v>132</v>
      </c>
      <c r="I32" s="37" t="s">
        <v>180</v>
      </c>
      <c r="J32" s="37" t="s">
        <v>156</v>
      </c>
      <c r="K32" s="50" t="s">
        <v>180</v>
      </c>
      <c r="L32" s="37">
        <v>1</v>
      </c>
      <c r="M32" s="37">
        <f>L32*5</f>
        <v>5</v>
      </c>
      <c r="N32" s="50">
        <v>10</v>
      </c>
      <c r="O32" s="61" t="s">
        <v>179</v>
      </c>
      <c r="P32" s="51">
        <v>0.17599999999999999</v>
      </c>
      <c r="Q32" s="38">
        <f>P32*N32</f>
        <v>1.7599999999999998</v>
      </c>
      <c r="R32" s="37"/>
      <c r="S32" s="58"/>
    </row>
    <row r="33" spans="1:26" x14ac:dyDescent="0.25">
      <c r="A33" s="1"/>
      <c r="B33" s="46">
        <f t="shared" si="0"/>
        <v>24</v>
      </c>
      <c r="C33" s="53" t="s">
        <v>21</v>
      </c>
      <c r="D33" s="50" t="s">
        <v>47</v>
      </c>
      <c r="E33" s="50" t="s">
        <v>73</v>
      </c>
      <c r="F33" s="50" t="s">
        <v>94</v>
      </c>
      <c r="G33" s="50" t="s">
        <v>114</v>
      </c>
      <c r="H33" s="50" t="s">
        <v>133</v>
      </c>
      <c r="I33" s="37" t="s">
        <v>180</v>
      </c>
      <c r="J33" s="50" t="s">
        <v>157</v>
      </c>
      <c r="K33" s="50" t="s">
        <v>180</v>
      </c>
      <c r="L33" s="50">
        <v>1</v>
      </c>
      <c r="M33" s="50">
        <f t="shared" ref="M33" si="22">L33*5</f>
        <v>5</v>
      </c>
      <c r="N33" s="50">
        <v>6</v>
      </c>
      <c r="O33" s="61" t="s">
        <v>179</v>
      </c>
      <c r="P33" s="51">
        <v>3.3075000000000001</v>
      </c>
      <c r="Q33" s="51">
        <f t="shared" ref="Q33" si="23">P33*N33</f>
        <v>19.844999999999999</v>
      </c>
      <c r="R33" s="50"/>
      <c r="S33" s="58"/>
    </row>
    <row r="34" spans="1:26" x14ac:dyDescent="0.25">
      <c r="A34" s="1"/>
      <c r="B34" s="45">
        <f>ROW(B34) - ROW($B$9)</f>
        <v>25</v>
      </c>
      <c r="C34" s="52" t="s">
        <v>22</v>
      </c>
      <c r="D34" s="37" t="s">
        <v>48</v>
      </c>
      <c r="E34" s="37" t="s">
        <v>74</v>
      </c>
      <c r="F34" s="37" t="s">
        <v>95</v>
      </c>
      <c r="G34" s="37" t="s">
        <v>115</v>
      </c>
      <c r="H34" s="37" t="s">
        <v>134</v>
      </c>
      <c r="I34" s="37" t="s">
        <v>180</v>
      </c>
      <c r="J34" s="37" t="s">
        <v>158</v>
      </c>
      <c r="K34" s="50" t="s">
        <v>180</v>
      </c>
      <c r="L34" s="37">
        <v>1</v>
      </c>
      <c r="M34" s="37">
        <f>L34*5</f>
        <v>5</v>
      </c>
      <c r="N34" s="50">
        <v>6</v>
      </c>
      <c r="O34" s="61" t="s">
        <v>179</v>
      </c>
      <c r="P34" s="51">
        <v>0.54569999999999996</v>
      </c>
      <c r="Q34" s="38">
        <f>P34*N34</f>
        <v>3.2741999999999996</v>
      </c>
      <c r="R34" s="37"/>
      <c r="S34" s="58"/>
    </row>
    <row r="35" spans="1:26" ht="48" x14ac:dyDescent="0.25">
      <c r="A35" s="1"/>
      <c r="B35" s="45">
        <f t="shared" ref="B35:B38" si="24">ROW(B35) - ROW($B$9)</f>
        <v>26</v>
      </c>
      <c r="C35" s="52" t="s">
        <v>181</v>
      </c>
      <c r="D35" s="37" t="s">
        <v>182</v>
      </c>
      <c r="E35" s="37" t="s">
        <v>183</v>
      </c>
      <c r="F35" s="37" t="s">
        <v>180</v>
      </c>
      <c r="G35" s="37" t="s">
        <v>180</v>
      </c>
      <c r="H35" s="37" t="s">
        <v>180</v>
      </c>
      <c r="I35" s="37" t="s">
        <v>180</v>
      </c>
      <c r="J35" s="37" t="s">
        <v>180</v>
      </c>
      <c r="K35" s="50" t="s">
        <v>180</v>
      </c>
      <c r="L35" s="37">
        <v>1</v>
      </c>
      <c r="M35" s="37">
        <f>L35*5</f>
        <v>5</v>
      </c>
      <c r="N35" s="37">
        <v>5</v>
      </c>
      <c r="O35" s="59" t="s">
        <v>184</v>
      </c>
      <c r="P35" s="38">
        <v>4.67</v>
      </c>
      <c r="Q35" s="38">
        <f>P35*N35</f>
        <v>23.35</v>
      </c>
      <c r="R35" s="37"/>
      <c r="S35" s="58"/>
    </row>
    <row r="36" spans="1:26" ht="48" x14ac:dyDescent="0.25">
      <c r="A36" s="1"/>
      <c r="B36" s="45">
        <f t="shared" si="24"/>
        <v>27</v>
      </c>
      <c r="C36" s="52" t="s">
        <v>185</v>
      </c>
      <c r="D36" s="37" t="s">
        <v>182</v>
      </c>
      <c r="E36" s="37" t="s">
        <v>186</v>
      </c>
      <c r="F36" s="37" t="s">
        <v>180</v>
      </c>
      <c r="G36" s="37" t="s">
        <v>180</v>
      </c>
      <c r="H36" s="37" t="s">
        <v>180</v>
      </c>
      <c r="I36" s="37" t="s">
        <v>180</v>
      </c>
      <c r="J36" s="37" t="s">
        <v>180</v>
      </c>
      <c r="K36" s="50" t="s">
        <v>180</v>
      </c>
      <c r="L36" s="37">
        <v>1</v>
      </c>
      <c r="M36" s="37">
        <f>L36*5</f>
        <v>5</v>
      </c>
      <c r="N36" s="37">
        <v>1</v>
      </c>
      <c r="O36" s="59" t="s">
        <v>184</v>
      </c>
      <c r="P36" s="38">
        <v>0.35</v>
      </c>
      <c r="Q36" s="60">
        <f>P36*N36</f>
        <v>0.35</v>
      </c>
      <c r="R36" s="37"/>
      <c r="S36" s="58"/>
    </row>
    <row r="37" spans="1:26" ht="24" x14ac:dyDescent="0.25">
      <c r="A37" s="1"/>
      <c r="B37" s="45">
        <f t="shared" si="24"/>
        <v>28</v>
      </c>
      <c r="C37" s="52" t="s">
        <v>187</v>
      </c>
      <c r="D37" s="37" t="s">
        <v>182</v>
      </c>
      <c r="E37" s="37" t="s">
        <v>189</v>
      </c>
      <c r="F37" s="37" t="s">
        <v>180</v>
      </c>
      <c r="G37" s="37" t="s">
        <v>180</v>
      </c>
      <c r="H37" s="37" t="s">
        <v>180</v>
      </c>
      <c r="I37" s="37" t="s">
        <v>180</v>
      </c>
      <c r="J37" s="37" t="s">
        <v>180</v>
      </c>
      <c r="K37" s="50" t="s">
        <v>180</v>
      </c>
      <c r="L37" s="37">
        <v>1</v>
      </c>
      <c r="M37" s="37">
        <f>L37*5</f>
        <v>5</v>
      </c>
      <c r="N37" s="37">
        <v>1</v>
      </c>
      <c r="O37" s="59" t="s">
        <v>188</v>
      </c>
      <c r="P37" s="38">
        <v>16.989999999999998</v>
      </c>
      <c r="Q37" s="60">
        <f>P37*N37</f>
        <v>16.989999999999998</v>
      </c>
      <c r="R37" s="37"/>
      <c r="S37" s="58"/>
    </row>
    <row r="38" spans="1:26" s="67" customFormat="1" ht="90.75" thickBot="1" x14ac:dyDescent="0.3">
      <c r="A38" s="66"/>
      <c r="B38" s="45">
        <f t="shared" si="24"/>
        <v>29</v>
      </c>
      <c r="C38" s="52" t="s">
        <v>192</v>
      </c>
      <c r="D38" s="37" t="s">
        <v>182</v>
      </c>
      <c r="E38" s="37" t="s">
        <v>193</v>
      </c>
      <c r="F38" s="37" t="s">
        <v>180</v>
      </c>
      <c r="G38" s="37" t="s">
        <v>180</v>
      </c>
      <c r="H38" s="37" t="s">
        <v>180</v>
      </c>
      <c r="I38" s="37" t="s">
        <v>180</v>
      </c>
      <c r="J38" s="37" t="s">
        <v>180</v>
      </c>
      <c r="K38" s="50" t="s">
        <v>180</v>
      </c>
      <c r="L38" s="37">
        <v>4</v>
      </c>
      <c r="M38" s="37">
        <f>L38*5</f>
        <v>20</v>
      </c>
      <c r="N38" s="37">
        <v>100</v>
      </c>
      <c r="O38" s="59" t="s">
        <v>184</v>
      </c>
      <c r="P38" s="38">
        <v>3</v>
      </c>
      <c r="Q38" s="60">
        <v>3</v>
      </c>
      <c r="R38" s="65" t="s">
        <v>194</v>
      </c>
      <c r="S38" s="58"/>
      <c r="U38"/>
      <c r="V38"/>
      <c r="W38"/>
      <c r="X38"/>
      <c r="Y38"/>
      <c r="Z38"/>
    </row>
    <row r="39" spans="1:26" ht="19.5" thickBot="1" x14ac:dyDescent="0.3">
      <c r="A39" s="1"/>
      <c r="B39" s="39"/>
      <c r="C39" s="40"/>
      <c r="D39" s="41"/>
      <c r="E39" s="42"/>
      <c r="F39" s="43"/>
      <c r="G39" s="44"/>
      <c r="H39" s="43"/>
      <c r="I39" s="44"/>
      <c r="J39" s="43"/>
      <c r="K39" s="44"/>
      <c r="L39" s="44"/>
      <c r="M39" s="44"/>
      <c r="N39" s="76" t="s">
        <v>5</v>
      </c>
      <c r="O39" s="77"/>
      <c r="P39" s="77"/>
      <c r="Q39" s="47">
        <f>SUM(Q10:Q38)</f>
        <v>89.516999999999996</v>
      </c>
      <c r="R39" s="72"/>
      <c r="S39" s="73"/>
    </row>
    <row r="40" spans="1:26" ht="19.5" thickBot="1" x14ac:dyDescent="0.3">
      <c r="A40" s="1"/>
      <c r="B40" s="25"/>
      <c r="C40" s="36"/>
      <c r="D40" s="9"/>
      <c r="E40" s="10"/>
      <c r="F40" s="10"/>
      <c r="G40" s="10"/>
      <c r="H40" s="10"/>
      <c r="I40" s="10"/>
      <c r="J40" s="10"/>
      <c r="K40" s="10"/>
      <c r="L40" s="10"/>
      <c r="M40" s="10"/>
      <c r="N40" s="76" t="s">
        <v>6</v>
      </c>
      <c r="O40" s="77"/>
      <c r="P40" s="77"/>
      <c r="Q40" s="48">
        <f>Q39/5</f>
        <v>17.903399999999998</v>
      </c>
      <c r="R40" s="74"/>
      <c r="S40" s="75"/>
    </row>
  </sheetData>
  <mergeCells count="5">
    <mergeCell ref="K1:S1"/>
    <mergeCell ref="S3:S8"/>
    <mergeCell ref="R39:S40"/>
    <mergeCell ref="N39:P39"/>
    <mergeCell ref="N40:P40"/>
  </mergeCells>
  <hyperlinks>
    <hyperlink ref="O11" r:id="rId1"/>
    <hyperlink ref="O35" r:id="rId2"/>
    <hyperlink ref="O36" r:id="rId3"/>
    <hyperlink ref="O37" r:id="rId4"/>
    <hyperlink ref="O10" r:id="rId5"/>
    <hyperlink ref="O12" r:id="rId6"/>
    <hyperlink ref="O13" r:id="rId7"/>
    <hyperlink ref="O15" r:id="rId8"/>
    <hyperlink ref="O16" r:id="rId9"/>
    <hyperlink ref="O18" r:id="rId10"/>
    <hyperlink ref="O19" r:id="rId11"/>
    <hyperlink ref="O14" r:id="rId12"/>
    <hyperlink ref="O17" r:id="rId13"/>
    <hyperlink ref="O20" r:id="rId14"/>
    <hyperlink ref="O24" r:id="rId15"/>
    <hyperlink ref="O21" r:id="rId16"/>
    <hyperlink ref="O23" r:id="rId17"/>
    <hyperlink ref="O22" r:id="rId18"/>
    <hyperlink ref="O27" r:id="rId19"/>
    <hyperlink ref="O26" r:id="rId20"/>
    <hyperlink ref="O25" r:id="rId21"/>
    <hyperlink ref="O28" r:id="rId22"/>
    <hyperlink ref="O29" r:id="rId23"/>
    <hyperlink ref="O30" r:id="rId24"/>
    <hyperlink ref="O31" r:id="rId25"/>
    <hyperlink ref="O32" r:id="rId26"/>
    <hyperlink ref="O34" r:id="rId27"/>
    <hyperlink ref="O38" r:id="rId28"/>
    <hyperlink ref="O33" r:id="rId29"/>
  </hyperlinks>
  <pageMargins left="0.7" right="0.7" top="0.75" bottom="0.75" header="0.3" footer="0.3"/>
  <pageSetup paperSize="9" orientation="portrait" r:id="rId30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2024-01-12T17:18:47Z</dcterms:modified>
</cp:coreProperties>
</file>