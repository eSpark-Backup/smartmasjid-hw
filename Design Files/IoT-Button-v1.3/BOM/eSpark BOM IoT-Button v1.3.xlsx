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3\BOM\"/>
    </mc:Choice>
  </mc:AlternateContent>
  <bookViews>
    <workbookView xWindow="28680" yWindow="-120" windowWidth="29040" windowHeight="15840" activeTab="1"/>
  </bookViews>
  <sheets>
    <sheet name="5 Boards" sheetId="1" r:id="rId1"/>
    <sheet name="100 Boards" sheetId="2" r:id="rId2"/>
    <sheet name="500 Boards" sheetId="3" r:id="rId3"/>
    <sheet name="5000 Boards" sheetId="4" r:id="rId4"/>
  </sheets>
  <calcPr calcId="162913"/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10" i="1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10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39" i="2" l="1"/>
  <c r="Q40" i="2" s="1"/>
  <c r="Q39" i="1"/>
  <c r="M38" i="1" l="1"/>
  <c r="B38" i="1"/>
  <c r="M37" i="1"/>
  <c r="M36" i="1"/>
  <c r="M35" i="1"/>
  <c r="B35" i="1"/>
  <c r="B36" i="1"/>
  <c r="B37" i="1"/>
  <c r="M34" i="1" l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 l="1"/>
  <c r="M10" i="1"/>
  <c r="B11" i="1"/>
  <c r="B10" i="1"/>
  <c r="Q40" i="1" l="1"/>
</calcChain>
</file>

<file path=xl/sharedStrings.xml><?xml version="1.0" encoding="utf-8"?>
<sst xmlns="http://schemas.openxmlformats.org/spreadsheetml/2006/main" count="638" uniqueCount="199">
  <si>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</si>
  <si>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</si>
  <si>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</si>
  <si>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</si>
  <si>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</si>
  <si>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</si>
  <si>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</si>
  <si>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</si>
  <si>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</si>
  <si>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</si>
  <si>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</si>
  <si>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</si>
  <si>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</si>
  <si>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</si>
  <si>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</si>
  <si>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</si>
  <si>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</si>
  <si>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</si>
  <si>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</si>
  <si>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</si>
  <si>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</si>
  <si>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</si>
  <si>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</si>
  <si>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</si>
  <si>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C4, C7, C13, C20</t>
  </si>
  <si>
    <t>C2, C5, C8, C10, C11, C12, C14, C15, C16, C17, C18, C19, C21, C22, C23</t>
  </si>
  <si>
    <t>C6, C9</t>
  </si>
  <si>
    <t>D1</t>
  </si>
  <si>
    <t>D3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</si>
  <si>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</si>
  <si>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</si>
  <si>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</si>
  <si>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</si>
  <si>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</si>
  <si>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</si>
  <si>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</si>
  <si>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</si>
  <si>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</si>
  <si>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R1, R4, R6, R9, R10, R13, R14</t>
  </si>
  <si>
    <t>R3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</si>
  <si>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</si>
  <si>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</si>
  <si>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</si>
  <si>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</si>
  <si>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</si>
  <si>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</si>
  <si>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</si>
  <si>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</si>
  <si>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</si>
  <si>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</si>
  <si>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</si>
  <si>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</si>
  <si>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</si>
  <si>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</si>
  <si>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</si>
  <si>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</si>
  <si>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</si>
  <si>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</si>
  <si>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</si>
  <si>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</si>
  <si>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</si>
  <si>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</si>
  <si>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</si>
  <si>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</si>
  <si>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</si>
  <si>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</si>
  <si>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</si>
  <si>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</si>
  <si>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</si>
  <si>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</si>
  <si>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</si>
  <si>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</si>
  <si>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</si>
  <si>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</si>
  <si>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</si>
  <si>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</si>
  <si>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</si>
  <si>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</si>
  <si>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</si>
  <si>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</si>
  <si>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</si>
  <si>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</si>
  <si>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</si>
  <si>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</si>
  <si>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</si>
  <si>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</si>
  <si>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</si>
  <si>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</si>
  <si>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</si>
  <si>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</si>
  <si>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</si>
  <si>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</si>
  <si>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</si>
  <si>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</si>
  <si>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</si>
  <si>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</si>
  <si>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</si>
  <si>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</si>
  <si>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</si>
  <si>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</si>
  <si>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</si>
  <si>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MBR120VLSFT3G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</si>
  <si>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</si>
  <si>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</si>
  <si>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</si>
  <si>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</si>
  <si>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</si>
  <si>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</si>
  <si>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</si>
  <si>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</si>
  <si>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</si>
  <si>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</si>
  <si>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</si>
  <si>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</si>
  <si>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</si>
  <si>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</si>
  <si>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</si>
  <si>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</si>
  <si>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</si>
  <si>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</si>
  <si>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</si>
  <si>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</si>
  <si>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</si>
  <si>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</si>
  <si>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</si>
  <si>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</si>
  <si>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</si>
  <si>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</si>
  <si>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</si>
  <si>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</si>
  <si>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</si>
  <si>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</si>
  <si>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</si>
  <si>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</si>
  <si>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</si>
  <si>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LCSC Part Number</t>
  </si>
  <si>
    <t>C14664</t>
  </si>
  <si>
    <t>C106256</t>
  </si>
  <si>
    <t>C2936601</t>
  </si>
  <si>
    <t>C477989</t>
  </si>
  <si>
    <t>C295749</t>
  </si>
  <si>
    <t>C2757931</t>
  </si>
  <si>
    <t>C113030</t>
  </si>
  <si>
    <t>C319122</t>
  </si>
  <si>
    <t>C2905009</t>
  </si>
  <si>
    <t>C3151730</t>
  </si>
  <si>
    <t>C4154882</t>
  </si>
  <si>
    <t>C5310968</t>
  </si>
  <si>
    <t>C181091</t>
  </si>
  <si>
    <t>C98220</t>
  </si>
  <si>
    <t>C114756</t>
  </si>
  <si>
    <t>C100048</t>
  </si>
  <si>
    <t>C105879</t>
  </si>
  <si>
    <t>C22548</t>
  </si>
  <si>
    <t>C83206</t>
  </si>
  <si>
    <t>C963229</t>
  </si>
  <si>
    <t>C16581</t>
  </si>
  <si>
    <t>C5361945</t>
  </si>
  <si>
    <t>C3019997</t>
  </si>
  <si>
    <t>1uF</t>
  </si>
  <si>
    <t>100nF</t>
  </si>
  <si>
    <t>10uF</t>
  </si>
  <si>
    <t>10K</t>
  </si>
  <si>
    <t>56k</t>
  </si>
  <si>
    <t>100K</t>
  </si>
  <si>
    <t>330R</t>
  </si>
  <si>
    <t>1K</t>
  </si>
  <si>
    <t>Quantity</t>
  </si>
  <si>
    <t>Bill of Materials for Project [IoT-Button v1.3]</t>
  </si>
  <si>
    <t>IoT-Button v1.3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</si>
  <si>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</si>
  <si>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</si>
  <si>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</si>
  <si>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</si>
  <si>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</si>
  <si>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</si>
  <si>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</si>
  <si>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</si>
  <si>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</si>
  <si>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</si>
  <si>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-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</si>
  <si>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</si>
  <si>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</si>
  <si>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</si>
  <si>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</si>
  <si>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</si>
  <si>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</si>
  <si>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 xml:space="preserve">Programmer </t>
  </si>
  <si>
    <t>Tinde</t>
  </si>
  <si>
    <t>VoltLink CP2102N USB Serial Adapter &amp; Programmer</t>
  </si>
  <si>
    <t>Custom</t>
  </si>
  <si>
    <t>C266196</t>
  </si>
  <si>
    <t>Screws</t>
  </si>
  <si>
    <t>(M2 Screw Lentgh 4mm), (M2 Screw Lentgh 5mm), (M2 Screw Lentgh 6mm)</t>
  </si>
  <si>
    <t xml:space="preserve">Multiple Lentgh Screw Required Price not Confirm </t>
  </si>
  <si>
    <t>Quantity (100 Boards)</t>
  </si>
  <si>
    <t>MOQ (100 Boards)</t>
  </si>
  <si>
    <t>Unit Cost (100 Boards)</t>
  </si>
  <si>
    <t>Total Cost (100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</si>
</sst>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883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www.lcsc.com/product-detail/WiFi-Modules_Espressif-Systems-ESP32-WROOM-32E-N8R2_C5361945.html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www.lcsc.com/product-detail/WiFi-Modules_Espressif-Systems-ESP32-WROOM-32E-N8R2_C5361945.html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40"/>
  <sheetViews>
    <sheetView topLeftCell="H34" workbookViewId="0">
      <selection activeCell="N11" sqref="N1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28515625" customWidth="1"/>
    <col min="16" max="16" width="18.7109375" bestFit="1" customWidth="1"/>
    <col min="17" max="17" width="19.28515625" bestFit="1" customWidth="1"/>
    <col min="18" max="18" width="11.28515625" customWidth="1"/>
    <col min="19" max="19" width="26.85546875" bestFit="1" customWidth="1"/>
    <col min="21" max="21" width="21.28515625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172</v>
      </c>
      <c r="N9" s="30" t="s">
        <v>173</v>
      </c>
      <c r="O9" s="30" t="s">
        <v>174</v>
      </c>
      <c r="P9" s="30" t="s">
        <v>175</v>
      </c>
      <c r="Q9" s="30" t="s">
        <v>176</v>
      </c>
      <c r="R9" s="30" t="s">
        <v>177</v>
      </c>
      <c r="S9" s="30" t="s">
        <v>178</v>
      </c>
    </row>
    <row r="10" spans="1:19" x14ac:dyDescent="0.25">
      <c r="A10" s="1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L10*5</f>
        <v>30</v>
      </c>
      <c r="N10" s="37">
        <v>100</v>
      </c>
      <c r="O10" s="59" t="s">
        <v>179</v>
      </c>
      <c r="P10" s="38">
        <v>5.1999999999999998E-3</v>
      </c>
      <c r="Q10" s="60">
        <f>P10*N10</f>
        <v>0.52</v>
      </c>
      <c r="R10" s="37"/>
      <c r="S10" s="49"/>
    </row>
    <row r="11" spans="1:19" ht="24" x14ac:dyDescent="0.25">
      <c r="A11" s="1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50">
        <f t="shared" ref="M11" si="1">L11*5</f>
        <v>75</v>
      </c>
      <c r="N11" s="37">
        <v>100</v>
      </c>
      <c r="O11" s="59" t="s">
        <v>179</v>
      </c>
      <c r="P11" s="38">
        <v>1.8E-3</v>
      </c>
      <c r="Q11" s="60">
        <f t="shared" ref="Q11:Q38" si="2">P11*N11</f>
        <v>0.18</v>
      </c>
      <c r="R11" s="50"/>
      <c r="S11" s="50"/>
    </row>
    <row r="12" spans="1:19" x14ac:dyDescent="0.25">
      <c r="A12" s="1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>L12*5</f>
        <v>10</v>
      </c>
      <c r="N12" s="37">
        <v>15</v>
      </c>
      <c r="O12" s="59" t="s">
        <v>179</v>
      </c>
      <c r="P12" s="38">
        <v>0.13719999999999999</v>
      </c>
      <c r="Q12" s="60">
        <f t="shared" si="2"/>
        <v>2.0579999999999998</v>
      </c>
      <c r="R12" s="37"/>
      <c r="S12" s="58"/>
    </row>
    <row r="13" spans="1:19" x14ac:dyDescent="0.25">
      <c r="A13" s="1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50">
        <f t="shared" ref="M13" si="3">L13*5</f>
        <v>5</v>
      </c>
      <c r="N13" s="37">
        <v>10</v>
      </c>
      <c r="O13" s="59" t="s">
        <v>179</v>
      </c>
      <c r="P13" s="38">
        <v>3.4099999999999998E-2</v>
      </c>
      <c r="Q13" s="60">
        <f t="shared" si="2"/>
        <v>0.34099999999999997</v>
      </c>
      <c r="R13" s="50"/>
      <c r="S13" s="58"/>
    </row>
    <row r="14" spans="1:19" x14ac:dyDescent="0.25">
      <c r="A14" s="1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>L14*5</f>
        <v>5</v>
      </c>
      <c r="N14" s="50">
        <v>6</v>
      </c>
      <c r="O14" s="61" t="s">
        <v>179</v>
      </c>
      <c r="P14" s="51">
        <v>0.82730000000000004</v>
      </c>
      <c r="Q14" s="60">
        <f t="shared" si="2"/>
        <v>4.9638</v>
      </c>
      <c r="R14" s="37"/>
      <c r="S14" s="58"/>
    </row>
    <row r="15" spans="1:19" ht="24" x14ac:dyDescent="0.25">
      <c r="A15" s="1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50">
        <f t="shared" ref="M15" si="4">L15*5</f>
        <v>5</v>
      </c>
      <c r="N15" s="37">
        <v>10</v>
      </c>
      <c r="O15" s="59" t="s">
        <v>179</v>
      </c>
      <c r="P15" s="38">
        <v>9.3299999999999994E-2</v>
      </c>
      <c r="Q15" s="60">
        <f t="shared" si="2"/>
        <v>0.93299999999999994</v>
      </c>
      <c r="R15" s="50"/>
      <c r="S15" s="58"/>
    </row>
    <row r="16" spans="1:19" x14ac:dyDescent="0.25">
      <c r="A16" s="1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>L16*5</f>
        <v>5</v>
      </c>
      <c r="N16" s="50">
        <v>20</v>
      </c>
      <c r="O16" s="61" t="s">
        <v>179</v>
      </c>
      <c r="P16" s="51">
        <v>2.7199999999999998E-2</v>
      </c>
      <c r="Q16" s="60">
        <f t="shared" si="2"/>
        <v>0.54399999999999993</v>
      </c>
      <c r="R16" s="37"/>
      <c r="S16" s="58"/>
    </row>
    <row r="17" spans="1:19" ht="36" x14ac:dyDescent="0.25">
      <c r="A17" s="1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50">
        <f t="shared" ref="M17" si="5">L17*5</f>
        <v>5</v>
      </c>
      <c r="N17" s="50">
        <v>10</v>
      </c>
      <c r="O17" s="59" t="s">
        <v>179</v>
      </c>
      <c r="P17" s="38">
        <v>0.1318</v>
      </c>
      <c r="Q17" s="60">
        <f t="shared" si="2"/>
        <v>1.3180000000000001</v>
      </c>
      <c r="R17" s="50"/>
      <c r="S17" s="58"/>
    </row>
    <row r="18" spans="1:19" ht="48" x14ac:dyDescent="0.25">
      <c r="A18" s="1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>L18*5</f>
        <v>5</v>
      </c>
      <c r="N18" s="50">
        <v>20</v>
      </c>
      <c r="O18" s="61" t="s">
        <v>179</v>
      </c>
      <c r="P18" s="51">
        <v>2.1700000000000001E-2</v>
      </c>
      <c r="Q18" s="60">
        <f t="shared" si="2"/>
        <v>0.434</v>
      </c>
      <c r="R18" s="37"/>
      <c r="S18" s="58"/>
    </row>
    <row r="19" spans="1:19" ht="24" x14ac:dyDescent="0.25">
      <c r="A19" s="1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50">
        <f t="shared" ref="M19" si="6">L19*5</f>
        <v>5</v>
      </c>
      <c r="N19" s="37">
        <v>12</v>
      </c>
      <c r="O19" s="59" t="s">
        <v>179</v>
      </c>
      <c r="P19" s="38">
        <v>6.8000000000000005E-2</v>
      </c>
      <c r="Q19" s="60">
        <f t="shared" si="2"/>
        <v>0.81600000000000006</v>
      </c>
      <c r="R19" s="50"/>
      <c r="S19" s="58"/>
    </row>
    <row r="20" spans="1:19" ht="24" x14ac:dyDescent="0.25">
      <c r="A20" s="1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>L20*5</f>
        <v>5</v>
      </c>
      <c r="N20" s="50">
        <v>20</v>
      </c>
      <c r="O20" s="61" t="s">
        <v>179</v>
      </c>
      <c r="P20" s="51">
        <v>2.0799999999999999E-2</v>
      </c>
      <c r="Q20" s="60">
        <f t="shared" si="2"/>
        <v>0.41599999999999998</v>
      </c>
      <c r="R20" s="37"/>
      <c r="S20" s="58"/>
    </row>
    <row r="21" spans="1:19" ht="24" x14ac:dyDescent="0.25">
      <c r="A21" s="1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50">
        <f t="shared" ref="M21" si="7">L21*5</f>
        <v>30</v>
      </c>
      <c r="N21" s="37">
        <v>40</v>
      </c>
      <c r="O21" s="59" t="s">
        <v>179</v>
      </c>
      <c r="P21" s="38">
        <v>6.1699999999999998E-2</v>
      </c>
      <c r="Q21" s="60">
        <f t="shared" si="2"/>
        <v>2.468</v>
      </c>
      <c r="R21" s="50"/>
      <c r="S21" s="58"/>
    </row>
    <row r="22" spans="1:19" x14ac:dyDescent="0.25">
      <c r="A22" s="1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>L22*5</f>
        <v>5</v>
      </c>
      <c r="N22" s="37">
        <v>20</v>
      </c>
      <c r="O22" s="59" t="s">
        <v>179</v>
      </c>
      <c r="P22" s="38">
        <v>3.4099999999999998E-2</v>
      </c>
      <c r="Q22" s="60">
        <f t="shared" si="2"/>
        <v>0.68199999999999994</v>
      </c>
      <c r="R22" s="37"/>
      <c r="S22" s="58"/>
    </row>
    <row r="23" spans="1:19" ht="24" x14ac:dyDescent="0.25">
      <c r="A23" s="1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50">
        <f t="shared" ref="M23" si="8">L23*5</f>
        <v>5</v>
      </c>
      <c r="N23" s="62">
        <v>20</v>
      </c>
      <c r="O23" s="63" t="s">
        <v>179</v>
      </c>
      <c r="P23" s="64">
        <v>2.9399999999999999E-2</v>
      </c>
      <c r="Q23" s="60">
        <f t="shared" si="2"/>
        <v>0.58799999999999997</v>
      </c>
      <c r="R23" s="50"/>
      <c r="S23" s="58"/>
    </row>
    <row r="24" spans="1:19" x14ac:dyDescent="0.25">
      <c r="A24" s="1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>L24*5</f>
        <v>35</v>
      </c>
      <c r="N24" s="37">
        <v>100</v>
      </c>
      <c r="O24" s="59" t="s">
        <v>179</v>
      </c>
      <c r="P24" s="38">
        <v>1E-3</v>
      </c>
      <c r="Q24" s="60">
        <f t="shared" si="2"/>
        <v>0.1</v>
      </c>
      <c r="R24" s="37"/>
      <c r="S24" s="58"/>
    </row>
    <row r="25" spans="1:19" x14ac:dyDescent="0.25">
      <c r="A25" s="1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50">
        <f t="shared" ref="M25" si="9">L25*5</f>
        <v>5</v>
      </c>
      <c r="N25" s="37">
        <v>100</v>
      </c>
      <c r="O25" s="59" t="s">
        <v>179</v>
      </c>
      <c r="P25" s="38">
        <v>6.9999999999999999E-4</v>
      </c>
      <c r="Q25" s="60">
        <f t="shared" si="2"/>
        <v>6.9999999999999993E-2</v>
      </c>
      <c r="R25" s="50"/>
      <c r="S25" s="58"/>
    </row>
    <row r="26" spans="1:19" x14ac:dyDescent="0.25">
      <c r="A26" s="1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>L26*5</f>
        <v>10</v>
      </c>
      <c r="N26" s="37">
        <v>100</v>
      </c>
      <c r="O26" s="59" t="s">
        <v>179</v>
      </c>
      <c r="P26" s="38">
        <v>1.1000000000000001E-3</v>
      </c>
      <c r="Q26" s="60">
        <f t="shared" si="2"/>
        <v>0.11</v>
      </c>
      <c r="R26" s="37"/>
      <c r="S26" s="58"/>
    </row>
    <row r="27" spans="1:19" x14ac:dyDescent="0.25">
      <c r="A27" s="1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50">
        <f t="shared" ref="M27" si="10">L27*5</f>
        <v>5</v>
      </c>
      <c r="N27" s="37">
        <v>100</v>
      </c>
      <c r="O27" s="59" t="s">
        <v>179</v>
      </c>
      <c r="P27" s="38">
        <v>1E-3</v>
      </c>
      <c r="Q27" s="60">
        <f t="shared" si="2"/>
        <v>0.1</v>
      </c>
      <c r="R27" s="50"/>
      <c r="S27" s="58"/>
    </row>
    <row r="28" spans="1:19" x14ac:dyDescent="0.25">
      <c r="A28" s="1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>L28*5</f>
        <v>5</v>
      </c>
      <c r="N28" s="37">
        <v>100</v>
      </c>
      <c r="O28" s="59" t="s">
        <v>179</v>
      </c>
      <c r="P28" s="38">
        <v>1E-3</v>
      </c>
      <c r="Q28" s="60">
        <f t="shared" si="2"/>
        <v>0.1</v>
      </c>
      <c r="R28" s="37"/>
      <c r="S28" s="58"/>
    </row>
    <row r="29" spans="1:19" ht="36" x14ac:dyDescent="0.25">
      <c r="A29" s="1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50">
        <f t="shared" ref="M29" si="11">L29*5</f>
        <v>10</v>
      </c>
      <c r="N29" s="50">
        <v>20</v>
      </c>
      <c r="O29" s="61" t="s">
        <v>179</v>
      </c>
      <c r="P29" s="51">
        <v>3.9899999999999998E-2</v>
      </c>
      <c r="Q29" s="60">
        <f t="shared" si="2"/>
        <v>0.79799999999999993</v>
      </c>
      <c r="R29" s="50"/>
      <c r="S29" s="58"/>
    </row>
    <row r="30" spans="1:19" ht="36" x14ac:dyDescent="0.25">
      <c r="A30" s="1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>L30*5</f>
        <v>5</v>
      </c>
      <c r="N30" s="37">
        <v>10</v>
      </c>
      <c r="O30" s="59" t="s">
        <v>179</v>
      </c>
      <c r="P30" s="38">
        <v>5.6800000000000003E-2</v>
      </c>
      <c r="Q30" s="60">
        <f t="shared" si="2"/>
        <v>0.56800000000000006</v>
      </c>
      <c r="R30" s="37"/>
      <c r="S30" s="58"/>
    </row>
    <row r="31" spans="1:19" ht="24" x14ac:dyDescent="0.25">
      <c r="A31" s="1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50">
        <f t="shared" ref="M31" si="12">L31*5</f>
        <v>5</v>
      </c>
      <c r="N31" s="37">
        <v>10</v>
      </c>
      <c r="O31" s="59" t="s">
        <v>179</v>
      </c>
      <c r="P31" s="38">
        <v>0.13020000000000001</v>
      </c>
      <c r="Q31" s="60">
        <f t="shared" si="2"/>
        <v>1.302</v>
      </c>
      <c r="R31" s="50"/>
      <c r="S31" s="58"/>
    </row>
    <row r="32" spans="1:19" x14ac:dyDescent="0.25">
      <c r="A32" s="1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>L32*5</f>
        <v>5</v>
      </c>
      <c r="N32" s="50">
        <v>10</v>
      </c>
      <c r="O32" s="61" t="s">
        <v>179</v>
      </c>
      <c r="P32" s="51">
        <v>0.17599999999999999</v>
      </c>
      <c r="Q32" s="60">
        <f t="shared" si="2"/>
        <v>1.7599999999999998</v>
      </c>
      <c r="R32" s="37"/>
      <c r="S32" s="58"/>
    </row>
    <row r="33" spans="1:26" x14ac:dyDescent="0.25">
      <c r="A33" s="1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50">
        <f t="shared" ref="M33" si="13">L33*5</f>
        <v>5</v>
      </c>
      <c r="N33" s="50">
        <v>6</v>
      </c>
      <c r="O33" s="61" t="s">
        <v>179</v>
      </c>
      <c r="P33" s="51">
        <v>3.3075000000000001</v>
      </c>
      <c r="Q33" s="60">
        <f t="shared" si="2"/>
        <v>19.844999999999999</v>
      </c>
      <c r="R33" s="50"/>
      <c r="S33" s="58"/>
    </row>
    <row r="34" spans="1:26" x14ac:dyDescent="0.25">
      <c r="A34" s="1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>L34*5</f>
        <v>5</v>
      </c>
      <c r="N34" s="50">
        <v>6</v>
      </c>
      <c r="O34" s="61" t="s">
        <v>179</v>
      </c>
      <c r="P34" s="51">
        <v>0.54569999999999996</v>
      </c>
      <c r="Q34" s="60">
        <f t="shared" si="2"/>
        <v>3.2741999999999996</v>
      </c>
      <c r="R34" s="37"/>
      <c r="S34" s="58"/>
    </row>
    <row r="35" spans="1:26" ht="48" x14ac:dyDescent="0.25">
      <c r="A35" s="1"/>
      <c r="B35" s="45">
        <f t="shared" ref="B35:B38" si="14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>L35*5</f>
        <v>5</v>
      </c>
      <c r="N35" s="37">
        <v>5</v>
      </c>
      <c r="O35" s="59" t="s">
        <v>184</v>
      </c>
      <c r="P35" s="38">
        <v>4.67</v>
      </c>
      <c r="Q35" s="60">
        <f t="shared" si="2"/>
        <v>23.35</v>
      </c>
      <c r="R35" s="37"/>
      <c r="S35" s="58"/>
    </row>
    <row r="36" spans="1:26" ht="48" x14ac:dyDescent="0.25">
      <c r="A36" s="1"/>
      <c r="B36" s="45">
        <f t="shared" si="14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>L36*5</f>
        <v>5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26" ht="24" x14ac:dyDescent="0.25">
      <c r="A37" s="1"/>
      <c r="B37" s="45">
        <f t="shared" si="14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>L37*5</f>
        <v>5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26" s="67" customFormat="1" ht="90.75" thickBot="1" x14ac:dyDescent="0.3">
      <c r="A38" s="66"/>
      <c r="B38" s="45">
        <f t="shared" si="14"/>
        <v>29</v>
      </c>
      <c r="C38" s="52" t="s">
        <v>192</v>
      </c>
      <c r="D38" s="37" t="s">
        <v>182</v>
      </c>
      <c r="E38" s="37" t="s">
        <v>193</v>
      </c>
      <c r="F38" s="37" t="s">
        <v>180</v>
      </c>
      <c r="G38" s="37" t="s">
        <v>180</v>
      </c>
      <c r="H38" s="37" t="s">
        <v>180</v>
      </c>
      <c r="I38" s="37" t="s">
        <v>180</v>
      </c>
      <c r="J38" s="37" t="s">
        <v>180</v>
      </c>
      <c r="K38" s="50" t="s">
        <v>180</v>
      </c>
      <c r="L38" s="37">
        <v>4</v>
      </c>
      <c r="M38" s="37">
        <f>L38*5</f>
        <v>20</v>
      </c>
      <c r="N38" s="37">
        <v>100</v>
      </c>
      <c r="O38" s="59" t="s">
        <v>184</v>
      </c>
      <c r="P38" s="38">
        <v>3</v>
      </c>
      <c r="Q38" s="60">
        <f t="shared" si="2"/>
        <v>300</v>
      </c>
      <c r="R38" s="65" t="s">
        <v>194</v>
      </c>
      <c r="S38" s="58"/>
      <c r="U38"/>
      <c r="V38"/>
      <c r="W38"/>
      <c r="X38"/>
      <c r="Y38"/>
      <c r="Z38"/>
    </row>
    <row r="39" spans="1:26" ht="19.5" thickBot="1" x14ac:dyDescent="0.3">
      <c r="A39" s="1"/>
      <c r="B39" s="39"/>
      <c r="C39" s="40"/>
      <c r="D39" s="41"/>
      <c r="E39" s="42"/>
      <c r="F39" s="43"/>
      <c r="G39" s="44"/>
      <c r="H39" s="43"/>
      <c r="I39" s="44"/>
      <c r="J39" s="43"/>
      <c r="K39" s="44"/>
      <c r="L39" s="44"/>
      <c r="M39" s="44"/>
      <c r="N39" s="76" t="s">
        <v>5</v>
      </c>
      <c r="O39" s="77"/>
      <c r="P39" s="77"/>
      <c r="Q39" s="47">
        <f>SUM(Q10:Q38)</f>
        <v>384.97899999999998</v>
      </c>
      <c r="R39" s="72"/>
      <c r="S39" s="73"/>
    </row>
    <row r="40" spans="1:26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76" t="s">
        <v>6</v>
      </c>
      <c r="O40" s="77"/>
      <c r="P40" s="77"/>
      <c r="Q40" s="48">
        <f>Q39/5</f>
        <v>76.995800000000003</v>
      </c>
      <c r="R40" s="74"/>
      <c r="S40" s="75"/>
    </row>
  </sheetData>
  <mergeCells count="5">
    <mergeCell ref="K1:S1"/>
    <mergeCell ref="S3:S8"/>
    <mergeCell ref="R39:S40"/>
    <mergeCell ref="N39:P39"/>
    <mergeCell ref="N40:P40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8" r:id="rId28"/>
    <hyperlink ref="O33" r:id="rId29"/>
  </hyperlinks>
  <pageMargins left="0.7" right="0.7" top="0.75" bottom="0.75" header="0.3" footer="0.3"/>
  <pageSetup paperSize="9" orientation="portrait" r:id="rId30"/>
  <drawing r:id="rId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"/>
  <sheetViews>
    <sheetView tabSelected="1" topLeftCell="E16" workbookViewId="0">
      <selection activeCell="P22" sqref="P2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195</v>
      </c>
      <c r="N9" s="30" t="s">
        <v>196</v>
      </c>
      <c r="O9" s="30" t="s">
        <v>174</v>
      </c>
      <c r="P9" s="30" t="s">
        <v>197</v>
      </c>
      <c r="Q9" s="30" t="s">
        <v>198</v>
      </c>
      <c r="R9" s="30" t="s">
        <v>177</v>
      </c>
      <c r="S9" s="30" t="s">
        <v>178</v>
      </c>
    </row>
    <row r="10" spans="1:19" x14ac:dyDescent="0.25">
      <c r="A10" s="1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L10*100</f>
        <v>600</v>
      </c>
      <c r="N10" s="37">
        <v>700</v>
      </c>
      <c r="O10" s="59" t="s">
        <v>179</v>
      </c>
      <c r="P10" s="38">
        <v>5.8999999999999999E-3</v>
      </c>
      <c r="Q10" s="60">
        <f>P10*N10</f>
        <v>4.13</v>
      </c>
      <c r="R10" s="37"/>
      <c r="S10" s="49"/>
    </row>
    <row r="11" spans="1:19" ht="24" x14ac:dyDescent="0.25">
      <c r="A11" s="1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37">
        <f t="shared" ref="M11:M38" si="1">L11*100</f>
        <v>1500</v>
      </c>
      <c r="N11" s="37">
        <v>1600</v>
      </c>
      <c r="O11" s="59" t="s">
        <v>179</v>
      </c>
      <c r="P11" s="38">
        <v>1.5E-3</v>
      </c>
      <c r="Q11" s="60">
        <f t="shared" ref="Q11:Q38" si="2">P11*N11</f>
        <v>2.4</v>
      </c>
      <c r="R11" s="50"/>
      <c r="S11" s="50"/>
    </row>
    <row r="12" spans="1:19" x14ac:dyDescent="0.25">
      <c r="A12" s="1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 t="shared" si="1"/>
        <v>200</v>
      </c>
      <c r="N12" s="37">
        <v>205</v>
      </c>
      <c r="O12" s="59" t="s">
        <v>179</v>
      </c>
      <c r="P12" s="38">
        <v>0.10199999999999999</v>
      </c>
      <c r="Q12" s="60">
        <f t="shared" si="2"/>
        <v>20.91</v>
      </c>
      <c r="R12" s="37"/>
      <c r="S12" s="58"/>
    </row>
    <row r="13" spans="1:19" ht="24" x14ac:dyDescent="0.25">
      <c r="A13" s="1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37">
        <f t="shared" si="1"/>
        <v>100</v>
      </c>
      <c r="N13" s="37">
        <v>110</v>
      </c>
      <c r="O13" s="59" t="s">
        <v>179</v>
      </c>
      <c r="P13" s="38">
        <v>2.7400000000000001E-2</v>
      </c>
      <c r="Q13" s="60">
        <f t="shared" si="2"/>
        <v>3.0140000000000002</v>
      </c>
      <c r="R13" s="50"/>
      <c r="S13" s="58"/>
    </row>
    <row r="14" spans="1:19" ht="24" x14ac:dyDescent="0.25">
      <c r="A14" s="1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 t="shared" si="1"/>
        <v>100</v>
      </c>
      <c r="N14" s="50">
        <v>101</v>
      </c>
      <c r="O14" s="61" t="s">
        <v>179</v>
      </c>
      <c r="P14" s="51">
        <v>0.5696</v>
      </c>
      <c r="Q14" s="60">
        <f t="shared" si="2"/>
        <v>57.529600000000002</v>
      </c>
      <c r="R14" s="37"/>
      <c r="S14" s="58"/>
    </row>
    <row r="15" spans="1:19" ht="36" x14ac:dyDescent="0.25">
      <c r="A15" s="1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37">
        <f t="shared" si="1"/>
        <v>100</v>
      </c>
      <c r="N15" s="37">
        <v>105</v>
      </c>
      <c r="O15" s="59" t="s">
        <v>179</v>
      </c>
      <c r="P15" s="38">
        <v>7.5999999999999998E-2</v>
      </c>
      <c r="Q15" s="60">
        <f t="shared" si="2"/>
        <v>7.9799999999999995</v>
      </c>
      <c r="R15" s="50"/>
      <c r="S15" s="58"/>
    </row>
    <row r="16" spans="1:19" ht="25.5" x14ac:dyDescent="0.25">
      <c r="A16" s="1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 t="shared" si="1"/>
        <v>100</v>
      </c>
      <c r="N16" s="50">
        <v>120</v>
      </c>
      <c r="O16" s="61" t="s">
        <v>179</v>
      </c>
      <c r="P16" s="51">
        <v>2.64E-2</v>
      </c>
      <c r="Q16" s="60">
        <f t="shared" si="2"/>
        <v>3.1680000000000001</v>
      </c>
      <c r="R16" s="37"/>
      <c r="S16" s="58"/>
    </row>
    <row r="17" spans="1:19" ht="48" x14ac:dyDescent="0.25">
      <c r="A17" s="1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37">
        <f t="shared" si="1"/>
        <v>100</v>
      </c>
      <c r="N17" s="50">
        <v>105</v>
      </c>
      <c r="O17" s="59" t="s">
        <v>179</v>
      </c>
      <c r="P17" s="38">
        <v>0.105</v>
      </c>
      <c r="Q17" s="60">
        <f t="shared" si="2"/>
        <v>11.025</v>
      </c>
      <c r="R17" s="50"/>
      <c r="S17" s="58"/>
    </row>
    <row r="18" spans="1:19" ht="48" x14ac:dyDescent="0.25">
      <c r="A18" s="1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 t="shared" si="1"/>
        <v>100</v>
      </c>
      <c r="N18" s="50">
        <v>120</v>
      </c>
      <c r="O18" s="61" t="s">
        <v>179</v>
      </c>
      <c r="P18" s="51">
        <v>2.1700000000000001E-2</v>
      </c>
      <c r="Q18" s="60">
        <f t="shared" si="2"/>
        <v>2.6040000000000001</v>
      </c>
      <c r="R18" s="37"/>
      <c r="S18" s="58"/>
    </row>
    <row r="19" spans="1:19" ht="36" x14ac:dyDescent="0.25">
      <c r="A19" s="1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37">
        <f t="shared" si="1"/>
        <v>100</v>
      </c>
      <c r="N19" s="37">
        <v>108</v>
      </c>
      <c r="O19" s="59" t="s">
        <v>179</v>
      </c>
      <c r="P19" s="38">
        <v>6.8000000000000005E-2</v>
      </c>
      <c r="Q19" s="60">
        <f t="shared" si="2"/>
        <v>7.3440000000000003</v>
      </c>
      <c r="R19" s="50"/>
      <c r="S19" s="58"/>
    </row>
    <row r="20" spans="1:19" ht="48" x14ac:dyDescent="0.25">
      <c r="A20" s="1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 t="shared" si="1"/>
        <v>100</v>
      </c>
      <c r="N20" s="50">
        <v>120</v>
      </c>
      <c r="O20" s="61" t="s">
        <v>179</v>
      </c>
      <c r="P20" s="51">
        <v>2.0799999999999999E-2</v>
      </c>
      <c r="Q20" s="60">
        <f t="shared" si="2"/>
        <v>2.496</v>
      </c>
      <c r="R20" s="37"/>
      <c r="S20" s="58"/>
    </row>
    <row r="21" spans="1:19" ht="24" x14ac:dyDescent="0.25">
      <c r="A21" s="1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37">
        <f t="shared" si="1"/>
        <v>600</v>
      </c>
      <c r="N21" s="37">
        <v>610</v>
      </c>
      <c r="O21" s="59" t="s">
        <v>179</v>
      </c>
      <c r="P21" s="38">
        <v>4.4400000000000002E-2</v>
      </c>
      <c r="Q21" s="60">
        <f t="shared" si="2"/>
        <v>27.084</v>
      </c>
      <c r="R21" s="50"/>
      <c r="S21" s="58"/>
    </row>
    <row r="22" spans="1:19" x14ac:dyDescent="0.25">
      <c r="A22" s="1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 t="shared" si="1"/>
        <v>100</v>
      </c>
      <c r="N22" s="37">
        <v>20</v>
      </c>
      <c r="O22" s="59" t="s">
        <v>179</v>
      </c>
      <c r="P22" s="38">
        <v>3.4099999999999998E-2</v>
      </c>
      <c r="Q22" s="60">
        <f t="shared" si="2"/>
        <v>0.68199999999999994</v>
      </c>
      <c r="R22" s="37"/>
      <c r="S22" s="58"/>
    </row>
    <row r="23" spans="1:19" ht="24" x14ac:dyDescent="0.25">
      <c r="A23" s="1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37">
        <f t="shared" si="1"/>
        <v>100</v>
      </c>
      <c r="N23" s="62">
        <v>20</v>
      </c>
      <c r="O23" s="63" t="s">
        <v>179</v>
      </c>
      <c r="P23" s="64">
        <v>2.9399999999999999E-2</v>
      </c>
      <c r="Q23" s="60">
        <f t="shared" si="2"/>
        <v>0.58799999999999997</v>
      </c>
      <c r="R23" s="50"/>
      <c r="S23" s="58"/>
    </row>
    <row r="24" spans="1:19" x14ac:dyDescent="0.25">
      <c r="A24" s="1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 t="shared" si="1"/>
        <v>700</v>
      </c>
      <c r="N24" s="37">
        <v>100</v>
      </c>
      <c r="O24" s="59" t="s">
        <v>179</v>
      </c>
      <c r="P24" s="38">
        <v>1E-3</v>
      </c>
      <c r="Q24" s="60">
        <f t="shared" si="2"/>
        <v>0.1</v>
      </c>
      <c r="R24" s="37"/>
      <c r="S24" s="58"/>
    </row>
    <row r="25" spans="1:19" x14ac:dyDescent="0.25">
      <c r="A25" s="1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37">
        <f t="shared" si="1"/>
        <v>100</v>
      </c>
      <c r="N25" s="37">
        <v>100</v>
      </c>
      <c r="O25" s="59" t="s">
        <v>179</v>
      </c>
      <c r="P25" s="38">
        <v>6.9999999999999999E-4</v>
      </c>
      <c r="Q25" s="60">
        <f t="shared" si="2"/>
        <v>6.9999999999999993E-2</v>
      </c>
      <c r="R25" s="50"/>
      <c r="S25" s="58"/>
    </row>
    <row r="26" spans="1:19" x14ac:dyDescent="0.25">
      <c r="A26" s="1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 t="shared" si="1"/>
        <v>200</v>
      </c>
      <c r="N26" s="37">
        <v>100</v>
      </c>
      <c r="O26" s="59" t="s">
        <v>179</v>
      </c>
      <c r="P26" s="38">
        <v>1.1000000000000001E-3</v>
      </c>
      <c r="Q26" s="60">
        <f t="shared" si="2"/>
        <v>0.11</v>
      </c>
      <c r="R26" s="37"/>
      <c r="S26" s="58"/>
    </row>
    <row r="27" spans="1:19" x14ac:dyDescent="0.25">
      <c r="A27" s="1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37">
        <f t="shared" si="1"/>
        <v>100</v>
      </c>
      <c r="N27" s="37">
        <v>100</v>
      </c>
      <c r="O27" s="59" t="s">
        <v>179</v>
      </c>
      <c r="P27" s="38">
        <v>1E-3</v>
      </c>
      <c r="Q27" s="60">
        <f t="shared" si="2"/>
        <v>0.1</v>
      </c>
      <c r="R27" s="50"/>
      <c r="S27" s="58"/>
    </row>
    <row r="28" spans="1:19" x14ac:dyDescent="0.25">
      <c r="A28" s="1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 t="shared" si="1"/>
        <v>100</v>
      </c>
      <c r="N28" s="37">
        <v>100</v>
      </c>
      <c r="O28" s="59" t="s">
        <v>179</v>
      </c>
      <c r="P28" s="38">
        <v>1E-3</v>
      </c>
      <c r="Q28" s="60">
        <f t="shared" si="2"/>
        <v>0.1</v>
      </c>
      <c r="R28" s="37"/>
      <c r="S28" s="58"/>
    </row>
    <row r="29" spans="1:19" ht="36" x14ac:dyDescent="0.25">
      <c r="A29" s="1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37">
        <f t="shared" si="1"/>
        <v>200</v>
      </c>
      <c r="N29" s="50">
        <v>20</v>
      </c>
      <c r="O29" s="61" t="s">
        <v>179</v>
      </c>
      <c r="P29" s="51">
        <v>3.9899999999999998E-2</v>
      </c>
      <c r="Q29" s="60">
        <f t="shared" si="2"/>
        <v>0.79799999999999993</v>
      </c>
      <c r="R29" s="50"/>
      <c r="S29" s="58"/>
    </row>
    <row r="30" spans="1:19" ht="48" x14ac:dyDescent="0.25">
      <c r="A30" s="1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 t="shared" si="1"/>
        <v>100</v>
      </c>
      <c r="N30" s="37">
        <v>10</v>
      </c>
      <c r="O30" s="59" t="s">
        <v>179</v>
      </c>
      <c r="P30" s="38">
        <v>5.6800000000000003E-2</v>
      </c>
      <c r="Q30" s="60">
        <f t="shared" si="2"/>
        <v>0.56800000000000006</v>
      </c>
      <c r="R30" s="37"/>
      <c r="S30" s="58"/>
    </row>
    <row r="31" spans="1:19" ht="25.5" x14ac:dyDescent="0.25">
      <c r="A31" s="1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37">
        <f t="shared" si="1"/>
        <v>100</v>
      </c>
      <c r="N31" s="37">
        <v>10</v>
      </c>
      <c r="O31" s="59" t="s">
        <v>179</v>
      </c>
      <c r="P31" s="38">
        <v>0.13020000000000001</v>
      </c>
      <c r="Q31" s="60">
        <f t="shared" si="2"/>
        <v>1.302</v>
      </c>
      <c r="R31" s="50"/>
      <c r="S31" s="58"/>
    </row>
    <row r="32" spans="1:19" ht="24" x14ac:dyDescent="0.25">
      <c r="A32" s="1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 t="shared" si="1"/>
        <v>100</v>
      </c>
      <c r="N32" s="50">
        <v>10</v>
      </c>
      <c r="O32" s="61" t="s">
        <v>179</v>
      </c>
      <c r="P32" s="51">
        <v>0.17599999999999999</v>
      </c>
      <c r="Q32" s="60">
        <f t="shared" si="2"/>
        <v>1.7599999999999998</v>
      </c>
      <c r="R32" s="37"/>
      <c r="S32" s="58"/>
    </row>
    <row r="33" spans="1:19" ht="24" x14ac:dyDescent="0.25">
      <c r="A33" s="1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37">
        <f t="shared" si="1"/>
        <v>100</v>
      </c>
      <c r="N33" s="50">
        <v>6</v>
      </c>
      <c r="O33" s="61" t="s">
        <v>179</v>
      </c>
      <c r="P33" s="51">
        <v>3.3075000000000001</v>
      </c>
      <c r="Q33" s="60">
        <f t="shared" si="2"/>
        <v>19.844999999999999</v>
      </c>
      <c r="R33" s="50"/>
      <c r="S33" s="58"/>
    </row>
    <row r="34" spans="1:19" ht="24" x14ac:dyDescent="0.25">
      <c r="A34" s="1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 t="shared" si="1"/>
        <v>100</v>
      </c>
      <c r="N34" s="50">
        <v>6</v>
      </c>
      <c r="O34" s="61" t="s">
        <v>179</v>
      </c>
      <c r="P34" s="51">
        <v>0.54569999999999996</v>
      </c>
      <c r="Q34" s="60">
        <f t="shared" si="2"/>
        <v>3.2741999999999996</v>
      </c>
      <c r="R34" s="37"/>
      <c r="S34" s="58"/>
    </row>
    <row r="35" spans="1:19" ht="60" x14ac:dyDescent="0.25">
      <c r="A35" s="1"/>
      <c r="B35" s="45">
        <f t="shared" ref="B35:B38" si="3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 t="shared" si="1"/>
        <v>100</v>
      </c>
      <c r="N35" s="37">
        <v>5</v>
      </c>
      <c r="O35" s="59" t="s">
        <v>184</v>
      </c>
      <c r="P35" s="38">
        <v>4.67</v>
      </c>
      <c r="Q35" s="60">
        <f t="shared" si="2"/>
        <v>23.35</v>
      </c>
      <c r="R35" s="37"/>
      <c r="S35" s="58"/>
    </row>
    <row r="36" spans="1:19" ht="60" x14ac:dyDescent="0.25">
      <c r="A36" s="1"/>
      <c r="B36" s="45">
        <f t="shared" si="3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 t="shared" si="1"/>
        <v>100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19" ht="25.5" x14ac:dyDescent="0.25">
      <c r="A37" s="1"/>
      <c r="B37" s="45">
        <f t="shared" si="3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 t="shared" si="1"/>
        <v>100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19" ht="90.75" thickBot="1" x14ac:dyDescent="0.3">
      <c r="A38" s="66"/>
      <c r="B38" s="45">
        <f t="shared" si="3"/>
        <v>29</v>
      </c>
      <c r="C38" s="52" t="s">
        <v>192</v>
      </c>
      <c r="D38" s="37" t="s">
        <v>182</v>
      </c>
      <c r="E38" s="37" t="s">
        <v>193</v>
      </c>
      <c r="F38" s="37" t="s">
        <v>180</v>
      </c>
      <c r="G38" s="37" t="s">
        <v>180</v>
      </c>
      <c r="H38" s="37" t="s">
        <v>180</v>
      </c>
      <c r="I38" s="37" t="s">
        <v>180</v>
      </c>
      <c r="J38" s="37" t="s">
        <v>180</v>
      </c>
      <c r="K38" s="50" t="s">
        <v>180</v>
      </c>
      <c r="L38" s="37">
        <v>4</v>
      </c>
      <c r="M38" s="37">
        <f t="shared" si="1"/>
        <v>400</v>
      </c>
      <c r="N38" s="37">
        <v>100</v>
      </c>
      <c r="O38" s="59" t="s">
        <v>184</v>
      </c>
      <c r="P38" s="38">
        <v>3</v>
      </c>
      <c r="Q38" s="60">
        <f t="shared" si="2"/>
        <v>300</v>
      </c>
      <c r="R38" s="65" t="s">
        <v>194</v>
      </c>
      <c r="S38" s="58"/>
    </row>
    <row r="39" spans="1:19" ht="19.5" thickBot="1" x14ac:dyDescent="0.3">
      <c r="A39" s="1"/>
      <c r="B39" s="39"/>
      <c r="C39" s="40"/>
      <c r="D39" s="41"/>
      <c r="E39" s="42"/>
      <c r="F39" s="43"/>
      <c r="G39" s="44"/>
      <c r="H39" s="43"/>
      <c r="I39" s="44"/>
      <c r="J39" s="43"/>
      <c r="K39" s="44"/>
      <c r="L39" s="44"/>
      <c r="M39" s="44"/>
      <c r="N39" s="76" t="s">
        <v>5</v>
      </c>
      <c r="O39" s="77"/>
      <c r="P39" s="77"/>
      <c r="Q39" s="47">
        <f>SUM(Q10:Q38)</f>
        <v>519.67179999999996</v>
      </c>
      <c r="R39" s="72"/>
      <c r="S39" s="73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76" t="s">
        <v>6</v>
      </c>
      <c r="O40" s="77"/>
      <c r="P40" s="77"/>
      <c r="Q40" s="48">
        <f>Q39/100</f>
        <v>5.1967179999999997</v>
      </c>
      <c r="R40" s="74"/>
      <c r="S40" s="75"/>
    </row>
  </sheetData>
  <mergeCells count="5">
    <mergeCell ref="K1:S1"/>
    <mergeCell ref="S3:S8"/>
    <mergeCell ref="N39:P39"/>
    <mergeCell ref="R39:S40"/>
    <mergeCell ref="N40:P40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8" r:id="rId28"/>
    <hyperlink ref="O33" r:id="rId29"/>
  </hyperlinks>
  <pageMargins left="0.7" right="0.7" top="0.75" bottom="0.75" header="0.3" footer="0.3"/>
  <drawing r:id="rId3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100 Boards</vt:lpstr>
      <vt:lpstr>500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2024-01-18T15:17:00Z</dcterms:modified>
</cp:coreProperties>
</file>