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400" windowHeight="12300"/>
  </bookViews>
  <sheets>
    <sheet name="5 Bo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<sst xmlns="http://schemas.openxmlformats.org/spreadsheetml/2006/main" count="354" uniqueCount="252">
  <si>
    <t>Component list</t>
  </si>
  <si>
    <t>Bill of Materials for Project [IoT-Speaker v1.3]</t>
  </si>
  <si>
    <t>Source Data From:</t>
  </si>
  <si>
    <t>IoT-Speaker v1.3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</si>
  <si>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</si>
  <si>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</si>
  <si>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</si>
  <si>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</si>
  <si>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</si>
  <si>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</si>
  <si>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</si>
  <si>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</si>
  <si>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</si>
  <si>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</si>
  <si>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</si>
  <si>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Links</t>
  </si>
  <si>
    <t>Quantity</t>
  </si>
  <si>
    <t>Quantity (5 Boards)</t>
  </si>
  <si>
    <t>Remarks</t>
  </si>
  <si>
    <t>Capacitor</t>
  </si>
  <si>
    <t>C1, C5, C6, C13, C16, C103</t>
  </si>
  <si>
    <t>CAP CER 10UF 25V X5R 0805</t>
  </si>
  <si>
    <t>Cap-0805</t>
  </si>
  <si>
    <t>CC0805KKX5R8BB106</t>
  </si>
  <si>
    <t>Yageo</t>
  </si>
  <si>
    <t>10uF</t>
  </si>
  <si>
    <t>C2, C3, C7, C9, C15, C17, C18, C19, C20, C21, C22, C24, C78, C83</t>
  </si>
  <si>
    <t>CAP CER 0.1UF 25V X5R 0402</t>
  </si>
  <si>
    <t>Cap-0402</t>
  </si>
  <si>
    <t>CC0402KRX5R8BB104</t>
  </si>
  <si>
    <t>100nF</t>
  </si>
  <si>
    <t>C4, C12, C76</t>
  </si>
  <si>
    <t>CAP CER 10000PF 50V C0G/NPO 0603</t>
  </si>
  <si>
    <t>Cap-0603</t>
  </si>
  <si>
    <t>CC0603JRNPO9BN103</t>
  </si>
  <si>
    <t>10nF</t>
  </si>
  <si>
    <t>C10, C11</t>
  </si>
  <si>
    <t>CAP CER 220PF 50V C0G/NPO 0402</t>
  </si>
  <si>
    <t>CC0402JRNPO9BN221</t>
  </si>
  <si>
    <t>220pF</t>
  </si>
  <si>
    <t>C14, C74, C75, C102</t>
  </si>
  <si>
    <t>CAP CER 1UF 25V X5R 0603</t>
  </si>
  <si>
    <t>CC0603KRX5R8BB105</t>
  </si>
  <si>
    <t>1uF</t>
  </si>
  <si>
    <t>C23, C25, C26, C77</t>
  </si>
  <si>
    <t>CAP CER 22UF 10V X5R 0603</t>
  </si>
  <si>
    <t>CC0603MRX5R6BB226</t>
  </si>
  <si>
    <t>22uF</t>
  </si>
  <si>
    <t>C79</t>
  </si>
  <si>
    <t>CAP CER 4700PF 1KV X7R 1206</t>
  </si>
  <si>
    <t>Cap-1206</t>
  </si>
  <si>
    <t>CC1206KKX7RCBB472</t>
  </si>
  <si>
    <t>4.7nF</t>
  </si>
  <si>
    <t>Diode</t>
  </si>
  <si>
    <t>D1</t>
  </si>
  <si>
    <t>TVS DIODE 5VWM 6.3VC DSN0603-2</t>
  </si>
  <si>
    <t>DSN0603-2</t>
  </si>
  <si>
    <t>PESD5V0H1BSFYL</t>
  </si>
  <si>
    <t>Nexperia</t>
  </si>
  <si>
    <t>-</t>
  </si>
  <si>
    <t>D2</t>
  </si>
  <si>
    <t>DIODE ZENER 3.3V 200MW SOD323F</t>
  </si>
  <si>
    <t>SOD323F</t>
  </si>
  <si>
    <t>MM3Z3V3B</t>
  </si>
  <si>
    <t>ON Semiconductor / Fairchild</t>
  </si>
  <si>
    <t>Fuse</t>
  </si>
  <si>
    <t>F1</t>
  </si>
  <si>
    <t>6V 2A 50A 1W -40℃~+85℃ 4A 4mΩ 5s 45mΩ 0805 Resettable Fuses ROHS</t>
  </si>
  <si>
    <t>Fuse-0805</t>
  </si>
  <si>
    <t>BSMD0805L-200</t>
  </si>
  <si>
    <t>BHFUSE</t>
  </si>
  <si>
    <t>Ferrite Bead</t>
  </si>
  <si>
    <t>FB1, FB2, FB3</t>
  </si>
  <si>
    <t>FERRITE BEAD 30 OHM 0603 1LN / Ferrite Beads Multi-Layer 30Ohm 100MHz 1A 0.05Ohm DCR 0603 T/R</t>
  </si>
  <si>
    <t>IND-0603 (1608 Metric)</t>
  </si>
  <si>
    <t>BLM18PG300SN1D</t>
  </si>
  <si>
    <t>Murata</t>
  </si>
  <si>
    <t>FB7</t>
  </si>
  <si>
    <t>FERRITE BEAD 120 OHM 1206 1LN</t>
  </si>
  <si>
    <t>IND-1206</t>
  </si>
  <si>
    <t>BLM31PG121SN1L</t>
  </si>
  <si>
    <t>JST Connector</t>
  </si>
  <si>
    <t>J1</t>
  </si>
  <si>
    <t>Conn Shrouded Header (4 Sides) HDR 2 POS 2.5mm Solder ST Thru-Hole Box</t>
  </si>
  <si>
    <t>B2B-XH-A(LF)(SN)_</t>
  </si>
  <si>
    <t>B2B-XH-A(LF)(SN)</t>
  </si>
  <si>
    <t>JST</t>
  </si>
  <si>
    <t>USB Connector</t>
  </si>
  <si>
    <t>J2</t>
  </si>
  <si>
    <t>250mA 1 16 Female Type-C SMD USB Connectors ROHS</t>
  </si>
  <si>
    <t>TYPE-C-31-M-12_</t>
  </si>
  <si>
    <t>TYPE-C-31-M-12</t>
  </si>
  <si>
    <t>Korean Hroparts Elec</t>
  </si>
  <si>
    <t>Connector</t>
  </si>
  <si>
    <t>J3</t>
  </si>
  <si>
    <t>1x6P SH 1 1mm 6 SMD,P=1mm Wire To Board / Wire To Wire Connector ROHS</t>
  </si>
  <si>
    <t>Voltlink Target</t>
  </si>
  <si>
    <t>C145963</t>
  </si>
  <si>
    <t>BOOMELE</t>
  </si>
  <si>
    <t>Header</t>
  </si>
  <si>
    <t>J9</t>
  </si>
  <si>
    <t>CONN HEADER VERT 2POS 2.54MM</t>
  </si>
  <si>
    <t>HDR1X2_</t>
  </si>
  <si>
    <t>Wurth Electronics</t>
  </si>
  <si>
    <t>INductor</t>
  </si>
  <si>
    <t>L1</t>
  </si>
  <si>
    <t>5.15A 1uH ±30% SMD Power Inductors ROHS</t>
  </si>
  <si>
    <t>MPIT6045-1R0N-LF</t>
  </si>
  <si>
    <t>microgate</t>
  </si>
  <si>
    <t>1uH</t>
  </si>
  <si>
    <t>Inductor</t>
  </si>
  <si>
    <t>L2, L3</t>
  </si>
  <si>
    <t>FIXED IND 33UH 500MA 275MOHM SMD</t>
  </si>
  <si>
    <t>VLCF5024T-330MR50-2</t>
  </si>
  <si>
    <t>TDK</t>
  </si>
  <si>
    <t>33uH</t>
  </si>
  <si>
    <t>LED</t>
  </si>
  <si>
    <t>LED2</t>
  </si>
  <si>
    <t>0603 Light Emitting Diodes (LED) ROHS</t>
  </si>
  <si>
    <t>LED-0603</t>
  </si>
  <si>
    <t>NCD0603R3</t>
  </si>
  <si>
    <t>Foshan NationStar Optoelectronics</t>
  </si>
  <si>
    <t>RGB LED</t>
  </si>
  <si>
    <t>LED3, LED4, LED5</t>
  </si>
  <si>
    <t>SMD5050 Light Emitting Diodes (LED) ROHS</t>
  </si>
  <si>
    <t>WS2812B-XF02/W</t>
  </si>
  <si>
    <t>Worldsemi</t>
  </si>
  <si>
    <t>Mosfet</t>
  </si>
  <si>
    <t>Q1</t>
  </si>
  <si>
    <t>30V 4.1A 60mΩ@10V,4.1A 350mW 3V@250uA P Channel SOT-23 MOSFETs ROHS</t>
  </si>
  <si>
    <t>SOT-23</t>
  </si>
  <si>
    <t>AO3407</t>
  </si>
  <si>
    <t>Guangdong Hottech</t>
  </si>
  <si>
    <t>Q2, Q3</t>
  </si>
  <si>
    <t>40V 100mW 100@10mA,1V 200mA 300MHz 300mV@50mA,5mA NPN -55℃~+150℃@(Tj) SOT-723 Bipolar Transistors - BJT ROHS</t>
  </si>
  <si>
    <t>SOT-723</t>
  </si>
  <si>
    <t>MMBT3904M</t>
  </si>
  <si>
    <t>TECH PUBLIC</t>
  </si>
  <si>
    <t>Q6</t>
  </si>
  <si>
    <t>N-CHANNEL 20-V (D-S) MOSFET</t>
  </si>
  <si>
    <t>Sot-23</t>
  </si>
  <si>
    <t>SI2302CDS</t>
  </si>
  <si>
    <t>Resistor</t>
  </si>
  <si>
    <t>R1, R2</t>
  </si>
  <si>
    <t>RES 5.1K OHM 1% 1/10W 0603</t>
  </si>
  <si>
    <t>Res-0603</t>
  </si>
  <si>
    <t>RC0603FR-075K1L</t>
  </si>
  <si>
    <t>5.1K</t>
  </si>
  <si>
    <t>R4</t>
  </si>
  <si>
    <t>RES  SMD 330R 100 mW 0603</t>
  </si>
  <si>
    <t>RC0603JR-07330RL</t>
  </si>
  <si>
    <t>330R</t>
  </si>
  <si>
    <t>R5</t>
  </si>
  <si>
    <t>Thick Film Resistors 75V 1.2kΩ 0603 Chip Resistor - Surface Mount ROHS</t>
  </si>
  <si>
    <t>0603WAF1201T5E</t>
  </si>
  <si>
    <t>UNI-ROYAL</t>
  </si>
  <si>
    <t>1.2K</t>
  </si>
  <si>
    <t>R6, R18, R19, R20, R21, R22</t>
  </si>
  <si>
    <t>RES SMD 10K Ohm 1% 1/10W 0603</t>
  </si>
  <si>
    <t>RC0603FR-0710KL</t>
  </si>
  <si>
    <t>10K</t>
  </si>
  <si>
    <t>R7</t>
  </si>
  <si>
    <t>±1% 732kΩ 0402 Chip Resistor - Surface Mount ROHS</t>
  </si>
  <si>
    <t>Res-0402</t>
  </si>
  <si>
    <t>FRC0402F7323TS</t>
  </si>
  <si>
    <t>FOJAN</t>
  </si>
  <si>
    <t>732K</t>
  </si>
  <si>
    <t>R8, R66, R67</t>
  </si>
  <si>
    <t>RES SMD 100K OHM 0.1% 1/10W 0603</t>
  </si>
  <si>
    <t>RT0603BRD07100KL</t>
  </si>
  <si>
    <t>100K</t>
  </si>
  <si>
    <t>R9, R12, R54</t>
  </si>
  <si>
    <t>RES 47K OHM 5% 1/10W 0603</t>
  </si>
  <si>
    <t>RC0603JR-0747KL</t>
  </si>
  <si>
    <t>47K</t>
  </si>
  <si>
    <t>R10, R11, R56</t>
  </si>
  <si>
    <t>RES SMD 4.7K OHM 5% 1/10W 0603</t>
  </si>
  <si>
    <t>RC0603JR-074K7L</t>
  </si>
  <si>
    <t>4.7K</t>
  </si>
  <si>
    <t>R26, R27</t>
  </si>
  <si>
    <t>RES 10K OHM 1% 1/16W 0402</t>
  </si>
  <si>
    <t>RC0402FR-0710KL</t>
  </si>
  <si>
    <t>R28, R55</t>
  </si>
  <si>
    <t>RES SMD 1K OHM 1% 1/10W 0603</t>
  </si>
  <si>
    <t>RC0603FR-071KL</t>
  </si>
  <si>
    <t>1K</t>
  </si>
  <si>
    <t>R30, R32, R35, R39</t>
  </si>
  <si>
    <t>RES SMD 0R, 1%, 0.1W, 0603</t>
  </si>
  <si>
    <t>RC0603FR-070RL</t>
  </si>
  <si>
    <t>0R</t>
  </si>
  <si>
    <t>R65, R69</t>
  </si>
  <si>
    <t>RES SMD 1M OHM 1% 1/10W 0603</t>
  </si>
  <si>
    <t>RC0603FR-071ML</t>
  </si>
  <si>
    <t>1M</t>
  </si>
  <si>
    <t>Switch</t>
  </si>
  <si>
    <t>SW1</t>
  </si>
  <si>
    <t>No NO 50mA 4.5mm 100000 260gf 12V -30℃~+85℃ 4.5mm 4.3mm Black Round Button Brick nogging SPST SMD Tactile Switches ROHS</t>
  </si>
  <si>
    <t>TS-1109S-C-B</t>
  </si>
  <si>
    <t>XKB Connectivity</t>
  </si>
  <si>
    <t>Tactile Switch</t>
  </si>
  <si>
    <t>SW4, SW5, SW6, SW8</t>
  </si>
  <si>
    <t>Plugin-4P,7.7x3.5mm Tactile Switches ROHS</t>
  </si>
  <si>
    <t>TS-1087E-B3D2</t>
  </si>
  <si>
    <t>Yuandy</t>
  </si>
  <si>
    <t>SW7</t>
  </si>
  <si>
    <t>No NO 50mA 4.5mm 100000 160gf 12V -30℃~+85℃ 4.5mm 8mm Black Round Button Brick nogging SPST SMD Tactile Switches ROHS</t>
  </si>
  <si>
    <t>TS-1109S-B-J_</t>
  </si>
  <si>
    <t>TS-1109S-B-J</t>
  </si>
  <si>
    <t>U1</t>
  </si>
  <si>
    <t>ESOP-8 Battery Management ICs ROHS</t>
  </si>
  <si>
    <t>ESOP-8</t>
  </si>
  <si>
    <t>TP4056-42-ESOP8</t>
  </si>
  <si>
    <t>TOPPOWER</t>
  </si>
  <si>
    <t>IC</t>
  </si>
  <si>
    <t>U2</t>
  </si>
  <si>
    <t>OR Controller N+1 ORing Controller N-Channel 2:1 SOT-583</t>
  </si>
  <si>
    <t>SOT-583</t>
  </si>
  <si>
    <t>LM66200DRLR</t>
  </si>
  <si>
    <t>Texas Instruments</t>
  </si>
  <si>
    <t>U3</t>
  </si>
  <si>
    <t>8-A boost converter with 0.5-V ultra-low input voltage 7-VQFN-HR -40 to 125</t>
  </si>
  <si>
    <t>7-VQFN-HR (2x2)</t>
  </si>
  <si>
    <t>TPS61022RWUR</t>
  </si>
  <si>
    <t>Module</t>
  </si>
  <si>
    <t>U4</t>
  </si>
  <si>
    <t>RF TXRX MODULE BT PCB TRACE SMD</t>
  </si>
  <si>
    <t>38-SMD Module</t>
  </si>
  <si>
    <t>ESP32-WROOM-32E-N8R2</t>
  </si>
  <si>
    <t>Espressif Systems</t>
  </si>
  <si>
    <t>U7</t>
  </si>
  <si>
    <t>SPX3819 Series 3.3 V 500 mA Fixed Output SMT LDO Regulator - SOT-23-5</t>
  </si>
  <si>
    <t>SOT-23-5</t>
  </si>
  <si>
    <t>SPX3819M5-L-3-3/TR</t>
  </si>
  <si>
    <t>MaxLinear</t>
  </si>
  <si>
    <t>U8</t>
  </si>
  <si>
    <t>IC CNTRLR ON/OFF W/DEB TSOT23-6</t>
  </si>
  <si>
    <t>TSOT-23-6</t>
  </si>
  <si>
    <t>MAX16054AZT+T</t>
  </si>
  <si>
    <t>Maxim</t>
  </si>
  <si>
    <t>U16</t>
  </si>
  <si>
    <t>Audio Amplifier, 1 Func, PQCC16</t>
  </si>
  <si>
    <t>TQFN-16-EP(3x3)</t>
  </si>
  <si>
    <t>MAX98357AETE+T</t>
  </si>
  <si>
    <t>Speaker</t>
  </si>
  <si>
    <t>Peripheral</t>
  </si>
  <si>
    <t>Speakers ROHS</t>
  </si>
  <si>
    <t>FS40DS0430-H18.8</t>
  </si>
  <si>
    <t>Battery</t>
  </si>
  <si>
    <t>803450 3.7V 1500mAh Lithium Polymer Rechargeable Battery For MP3 GPS Massager Camera Power Bank Laptop Speaker Lipo Li ion Cell</t>
  </si>
  <si>
    <t>Aliexpress</t>
  </si>
  <si>
    <t>USB Cable</t>
  </si>
  <si>
    <t>3A USB Type C Fast Charging Cable Quick Charger QC3.0 USB C Data Cable for Xiaomi Huawei Samsung Tablets Laptops 1M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</si>
</sst>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h:mm:ss\ AM/PM;@"/>
  </numFmts>
  <fonts count="39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26" applyNumberFormat="0" applyAlignment="0" applyProtection="0">
      <alignment vertical="center"/>
    </xf>
    <xf numFmtId="0" fontId="29" fillId="7" borderId="27" applyNumberFormat="0" applyAlignment="0" applyProtection="0">
      <alignment vertical="center"/>
    </xf>
    <xf numFmtId="0" fontId="30" fillId="7" borderId="26" applyNumberFormat="0" applyAlignment="0" applyProtection="0">
      <alignment vertical="center"/>
    </xf>
    <xf numFmtId="0" fontId="31" fillId="8" borderId="28" applyNumberFormat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7" fillId="3" borderId="7" xfId="0" applyFont="1" applyFill="1" applyBorder="1" applyAlignment="1">
      <alignment horizontal="left"/>
    </xf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76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19" fillId="3" borderId="3" xfId="0" applyFont="1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vertical="center"/>
    </xf>
    <xf numFmtId="0" fontId="0" fillId="3" borderId="3" xfId="0" applyFill="1" applyBorder="1"/>
    <xf numFmtId="0" fontId="9" fillId="3" borderId="14" xfId="0" applyFont="1" applyFill="1" applyBorder="1" applyAlignment="1" applyProtection="1">
      <alignment horizontal="center" vertical="top"/>
      <protection locked="0"/>
    </xf>
    <xf numFmtId="0" fontId="9" fillId="3" borderId="15" xfId="0" applyFont="1" applyFill="1" applyBorder="1" applyAlignment="1" applyProtection="1">
      <alignment horizontal="center" vertical="top"/>
      <protection locked="0"/>
    </xf>
    <xf numFmtId="0" fontId="7" fillId="3" borderId="15" xfId="0" applyFont="1" applyFill="1" applyBorder="1" applyAlignment="1" applyProtection="1">
      <alignment horizontal="left" vertical="top"/>
      <protection locked="0"/>
    </xf>
    <xf numFmtId="0" fontId="19" fillId="3" borderId="15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5" fillId="3" borderId="16" xfId="0" applyFont="1" applyFill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5" fillId="4" borderId="16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20" fillId="2" borderId="12" xfId="6" applyFill="1" applyBorder="1" applyAlignment="1">
      <alignment horizontal="center" vertical="center" wrapText="1"/>
    </xf>
    <xf numFmtId="0" fontId="0" fillId="3" borderId="17" xfId="0" applyFill="1" applyBorder="1"/>
    <xf numFmtId="0" fontId="19" fillId="3" borderId="22" xfId="0" applyFont="1" applyFill="1" applyBorder="1" applyAlignment="1" applyProtection="1">
      <alignment horizontal="left" vertical="top"/>
      <protection locked="0"/>
    </xf>
    <xf numFmtId="0" fontId="4" fillId="3" borderId="4" xfId="0" applyFont="1" applyFill="1" applyBorder="1" applyAlignment="1" quotePrefix="1">
      <alignment vertical="center"/>
    </xf>
    <xf numFmtId="0" fontId="7" fillId="3" borderId="0" xfId="0" applyFont="1" applyFill="1" applyAlignment="1" quotePrefix="1">
      <alignment horizontal="left"/>
    </xf>
    <xf numFmtId="0" fontId="7" fillId="3" borderId="7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77975" y="629285"/>
          <a:ext cx="1857375" cy="110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2" Type="http://schemas.openxmlformats.org/officeDocument/2006/relationships/hyperlink" Target="https://vi.aliexpress.com/item/1005006383634012.html?spm=a2g0o.productlist.main.17.3303ec6e8oLSpI&amp;algo_pvid=15fa5fa1-2597-419f-95b2-57e4890b17aa&amp;utparam-url=scene%3Asearch%7Cquery_from%3A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59"/>
  <sheetViews>
    <sheetView tabSelected="1" topLeftCell="A49" workbookViewId="0">
      <selection activeCell="D70" sqref="D70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5.7142857142857" customWidth="1"/>
    <col min="5" max="5" width="30" customWidth="1"/>
    <col min="6" max="6" width="26.5714285714286" customWidth="1"/>
    <col min="7" max="7" width="25.2857142857143" customWidth="1"/>
    <col min="8" max="8" width="21.4285714285714" customWidth="1"/>
    <col min="9" max="9" width="6.14285714285714" customWidth="1"/>
    <col min="10" max="10" width="10.4285714285714" customWidth="1"/>
    <col min="11" max="11" width="8.71428571428571" customWidth="1"/>
    <col min="12" max="12" width="18.2857142857143" customWidth="1"/>
    <col min="13" max="13" width="29.4285714285714" customWidth="1"/>
  </cols>
  <sheetData>
    <row r="1" ht="15.75" spans="1:13">
      <c r="A1" s="2"/>
      <c r="B1" s="3"/>
      <c r="C1" s="3"/>
      <c r="D1" s="4"/>
      <c r="E1" s="4"/>
      <c r="F1" s="4"/>
      <c r="G1" s="4"/>
      <c r="H1" s="4"/>
      <c r="I1" s="56"/>
      <c r="J1" s="56"/>
      <c r="K1" s="56"/>
      <c r="L1" s="56"/>
      <c r="M1" s="56"/>
    </row>
    <row r="2" ht="32.25" spans="1:13">
      <c r="A2" s="2"/>
      <c r="B2" s="5"/>
      <c r="C2" s="6"/>
      <c r="D2" s="7" t="s">
        <v>0</v>
      </c>
      <c r="E2" s="7"/>
      <c r="F2" s="67" t="s">
        <v>1</v>
      </c>
      <c r="G2" s="8"/>
      <c r="H2" s="9"/>
      <c r="I2" s="9"/>
      <c r="J2" s="9"/>
      <c r="K2" s="9"/>
      <c r="L2" s="9"/>
      <c r="M2" s="57"/>
    </row>
    <row r="3" spans="1:13">
      <c r="A3" s="2"/>
      <c r="B3" s="10"/>
      <c r="C3" s="11"/>
      <c r="D3" s="12" t="s">
        <v>2</v>
      </c>
      <c r="E3" s="12"/>
      <c r="F3" s="68" t="s">
        <v>3</v>
      </c>
      <c r="G3" s="12"/>
      <c r="H3" s="14"/>
      <c r="I3" s="14"/>
      <c r="J3" s="14"/>
      <c r="K3" s="14"/>
      <c r="L3" s="14"/>
      <c r="M3" s="58"/>
    </row>
    <row r="4" spans="1:13">
      <c r="A4" s="2"/>
      <c r="B4" s="10"/>
      <c r="C4" s="11"/>
      <c r="D4" s="12" t="s">
        <v>4</v>
      </c>
      <c r="E4" s="12"/>
      <c r="F4" s="68" t="s">
        <v>3</v>
      </c>
      <c r="G4" s="15"/>
      <c r="H4" s="16"/>
      <c r="I4" s="16"/>
      <c r="J4" s="16"/>
      <c r="K4" s="16"/>
      <c r="L4" s="16"/>
      <c r="M4" s="59"/>
    </row>
    <row r="5" spans="1:13">
      <c r="A5" s="2"/>
      <c r="B5" s="10"/>
      <c r="C5" s="11"/>
      <c r="D5" s="12" t="s">
        <v>5</v>
      </c>
      <c r="E5" s="12"/>
      <c r="F5" s="69" t="s">
        <v>6</v>
      </c>
      <c r="G5" s="18"/>
      <c r="H5" s="19"/>
      <c r="I5" s="19"/>
      <c r="J5" s="19"/>
      <c r="K5" s="19"/>
      <c r="L5" s="19"/>
      <c r="M5" s="59"/>
    </row>
    <row r="6" spans="1:13">
      <c r="A6" s="2"/>
      <c r="B6" s="20"/>
      <c r="C6" s="21"/>
      <c r="D6" s="22"/>
      <c r="E6" s="22"/>
      <c r="F6" s="23"/>
      <c r="G6" s="18"/>
      <c r="H6" s="19"/>
      <c r="I6" s="19"/>
      <c r="J6" s="19"/>
      <c r="K6" s="19"/>
      <c r="L6" s="19"/>
      <c r="M6" s="59"/>
    </row>
    <row r="7" spans="1:13">
      <c r="A7" s="2"/>
      <c r="B7" s="24"/>
      <c r="C7" s="25"/>
      <c r="D7" s="26"/>
      <c r="E7" s="26"/>
      <c r="F7" s="27"/>
      <c r="G7" s="26"/>
      <c r="H7" s="28"/>
      <c r="I7" s="28"/>
      <c r="J7" s="28"/>
      <c r="K7" s="28"/>
      <c r="L7" s="28"/>
      <c r="M7" s="59"/>
    </row>
    <row r="8" ht="15.75" spans="1:13">
      <c r="A8" s="2"/>
      <c r="B8" s="29"/>
      <c r="C8" s="30"/>
      <c r="D8" s="31"/>
      <c r="E8" s="31"/>
      <c r="F8" s="32"/>
      <c r="G8" s="26"/>
      <c r="H8" s="28"/>
      <c r="I8" s="28"/>
      <c r="J8" s="28"/>
      <c r="K8" s="28"/>
      <c r="L8" s="28"/>
      <c r="M8" s="59"/>
    </row>
    <row r="9" ht="15.75" spans="1:13">
      <c r="A9" s="2"/>
      <c r="B9" s="33" t="s">
        <v>7</v>
      </c>
      <c r="C9" s="33" t="s">
        <v>8</v>
      </c>
      <c r="D9" s="33" t="s">
        <v>9</v>
      </c>
      <c r="E9" s="34" t="s">
        <v>10</v>
      </c>
      <c r="F9" s="33" t="s">
        <v>11</v>
      </c>
      <c r="G9" s="34" t="s">
        <v>12</v>
      </c>
      <c r="H9" s="35" t="s">
        <v>13</v>
      </c>
      <c r="I9" s="33" t="s">
        <v>14</v>
      </c>
      <c r="J9" s="33" t="s">
        <v>15</v>
      </c>
      <c r="K9" s="60" t="s">
        <v>16</v>
      </c>
      <c r="L9" s="35" t="s">
        <v>17</v>
      </c>
      <c r="M9" s="33" t="s">
        <v>18</v>
      </c>
    </row>
    <row r="10" ht="15.75" spans="1:13">
      <c r="A10" s="2"/>
      <c r="B10" s="36">
        <f>ROW(B10)-ROW($B$9)</f>
        <v>1</v>
      </c>
      <c r="C10" s="37" t="s">
        <v>19</v>
      </c>
      <c r="D10" s="38" t="s">
        <v>20</v>
      </c>
      <c r="E10" s="39" t="s">
        <v>21</v>
      </c>
      <c r="F10" s="38" t="s">
        <v>22</v>
      </c>
      <c r="G10" s="39" t="s">
        <v>23</v>
      </c>
      <c r="H10" s="40" t="s">
        <v>24</v>
      </c>
      <c r="I10" s="38" t="s">
        <v>25</v>
      </c>
      <c r="J10" s="38"/>
      <c r="K10" s="61">
        <v>6</v>
      </c>
      <c r="L10" s="39">
        <f>K10*5</f>
        <v>30</v>
      </c>
      <c r="M10" s="38"/>
    </row>
    <row r="11" ht="24.75" spans="1:13">
      <c r="A11" s="2"/>
      <c r="B11" s="36">
        <f t="shared" ref="B11:B58" si="0">ROW(B11)-ROW($B$9)</f>
        <v>2</v>
      </c>
      <c r="C11" s="37" t="s">
        <v>19</v>
      </c>
      <c r="D11" s="41" t="s">
        <v>26</v>
      </c>
      <c r="E11" s="42" t="s">
        <v>27</v>
      </c>
      <c r="F11" s="41" t="s">
        <v>28</v>
      </c>
      <c r="G11" s="42" t="s">
        <v>29</v>
      </c>
      <c r="H11" s="43" t="s">
        <v>24</v>
      </c>
      <c r="I11" s="41" t="s">
        <v>30</v>
      </c>
      <c r="J11" s="41"/>
      <c r="K11" s="62">
        <v>14</v>
      </c>
      <c r="L11" s="42">
        <f t="shared" ref="L11:L12" si="1">K11*5</f>
        <v>70</v>
      </c>
      <c r="M11" s="41"/>
    </row>
    <row r="12" ht="15.75" spans="1:13">
      <c r="A12" s="2"/>
      <c r="B12" s="36">
        <f t="shared" si="0"/>
        <v>3</v>
      </c>
      <c r="C12" s="37" t="s">
        <v>19</v>
      </c>
      <c r="D12" s="38" t="s">
        <v>31</v>
      </c>
      <c r="E12" s="39" t="s">
        <v>32</v>
      </c>
      <c r="F12" s="38" t="s">
        <v>33</v>
      </c>
      <c r="G12" s="39" t="s">
        <v>34</v>
      </c>
      <c r="H12" s="40" t="s">
        <v>24</v>
      </c>
      <c r="I12" s="38" t="s">
        <v>35</v>
      </c>
      <c r="J12" s="38"/>
      <c r="K12" s="61">
        <v>3</v>
      </c>
      <c r="L12" s="39">
        <f t="shared" si="1"/>
        <v>15</v>
      </c>
      <c r="M12" s="38"/>
    </row>
    <row r="13" ht="15.75" spans="1:13">
      <c r="A13" s="2"/>
      <c r="B13" s="36">
        <f t="shared" si="0"/>
        <v>4</v>
      </c>
      <c r="C13" s="37" t="s">
        <v>19</v>
      </c>
      <c r="D13" s="41" t="s">
        <v>36</v>
      </c>
      <c r="E13" s="42" t="s">
        <v>37</v>
      </c>
      <c r="F13" s="41" t="s">
        <v>28</v>
      </c>
      <c r="G13" s="42" t="s">
        <v>38</v>
      </c>
      <c r="H13" s="43" t="s">
        <v>24</v>
      </c>
      <c r="I13" s="41" t="s">
        <v>39</v>
      </c>
      <c r="J13" s="41"/>
      <c r="K13" s="62">
        <v>2</v>
      </c>
      <c r="L13" s="42">
        <f t="shared" ref="L13:L14" si="2">K13*5</f>
        <v>10</v>
      </c>
      <c r="M13" s="41"/>
    </row>
    <row r="14" ht="15.75" spans="1:13">
      <c r="A14" s="2"/>
      <c r="B14" s="36">
        <f t="shared" si="0"/>
        <v>5</v>
      </c>
      <c r="C14" s="37" t="s">
        <v>19</v>
      </c>
      <c r="D14" s="38" t="s">
        <v>40</v>
      </c>
      <c r="E14" s="39" t="s">
        <v>41</v>
      </c>
      <c r="F14" s="38" t="s">
        <v>33</v>
      </c>
      <c r="G14" s="39" t="s">
        <v>42</v>
      </c>
      <c r="H14" s="40" t="s">
        <v>24</v>
      </c>
      <c r="I14" s="38" t="s">
        <v>43</v>
      </c>
      <c r="J14" s="38"/>
      <c r="K14" s="61">
        <v>4</v>
      </c>
      <c r="L14" s="39">
        <f t="shared" si="2"/>
        <v>20</v>
      </c>
      <c r="M14" s="38"/>
    </row>
    <row r="15" ht="15.75" spans="1:13">
      <c r="A15" s="2"/>
      <c r="B15" s="36">
        <f t="shared" si="0"/>
        <v>6</v>
      </c>
      <c r="C15" s="37" t="s">
        <v>19</v>
      </c>
      <c r="D15" s="41" t="s">
        <v>44</v>
      </c>
      <c r="E15" s="42" t="s">
        <v>45</v>
      </c>
      <c r="F15" s="41" t="s">
        <v>33</v>
      </c>
      <c r="G15" s="42" t="s">
        <v>46</v>
      </c>
      <c r="H15" s="43" t="s">
        <v>24</v>
      </c>
      <c r="I15" s="41" t="s">
        <v>47</v>
      </c>
      <c r="J15" s="41"/>
      <c r="K15" s="62">
        <v>4</v>
      </c>
      <c r="L15" s="42">
        <f t="shared" ref="L15:L17" si="3">K15*5</f>
        <v>20</v>
      </c>
      <c r="M15" s="41"/>
    </row>
    <row r="16" ht="15.75" spans="1:13">
      <c r="A16" s="2"/>
      <c r="B16" s="36">
        <f t="shared" si="0"/>
        <v>7</v>
      </c>
      <c r="C16" s="44" t="s">
        <v>19</v>
      </c>
      <c r="D16" s="38" t="s">
        <v>48</v>
      </c>
      <c r="E16" s="38" t="s">
        <v>49</v>
      </c>
      <c r="F16" s="38" t="s">
        <v>50</v>
      </c>
      <c r="G16" s="38" t="s">
        <v>51</v>
      </c>
      <c r="H16" s="38" t="s">
        <v>24</v>
      </c>
      <c r="I16" s="38" t="s">
        <v>52</v>
      </c>
      <c r="J16" s="38"/>
      <c r="K16" s="61">
        <v>1</v>
      </c>
      <c r="L16" s="39">
        <f t="shared" si="3"/>
        <v>5</v>
      </c>
      <c r="M16" s="38"/>
    </row>
    <row r="17" ht="15.75" spans="1:13">
      <c r="A17" s="2"/>
      <c r="B17" s="36">
        <f t="shared" si="0"/>
        <v>8</v>
      </c>
      <c r="C17" s="45" t="s">
        <v>53</v>
      </c>
      <c r="D17" s="38" t="s">
        <v>54</v>
      </c>
      <c r="E17" s="39" t="s">
        <v>55</v>
      </c>
      <c r="F17" s="38" t="s">
        <v>56</v>
      </c>
      <c r="G17" s="39" t="s">
        <v>57</v>
      </c>
      <c r="H17" s="40" t="s">
        <v>58</v>
      </c>
      <c r="I17" s="38" t="s">
        <v>59</v>
      </c>
      <c r="J17" s="38"/>
      <c r="K17" s="61">
        <v>1</v>
      </c>
      <c r="L17" s="39">
        <f t="shared" si="3"/>
        <v>5</v>
      </c>
      <c r="M17" s="38"/>
    </row>
    <row r="18" ht="24.75" spans="1:13">
      <c r="A18" s="2"/>
      <c r="B18" s="36">
        <f t="shared" si="0"/>
        <v>9</v>
      </c>
      <c r="C18" s="45" t="s">
        <v>53</v>
      </c>
      <c r="D18" s="41" t="s">
        <v>60</v>
      </c>
      <c r="E18" s="42" t="s">
        <v>61</v>
      </c>
      <c r="F18" s="41" t="s">
        <v>62</v>
      </c>
      <c r="G18" s="42" t="s">
        <v>63</v>
      </c>
      <c r="H18" s="43" t="s">
        <v>64</v>
      </c>
      <c r="I18" s="38" t="s">
        <v>59</v>
      </c>
      <c r="J18" s="38"/>
      <c r="K18" s="62">
        <v>1</v>
      </c>
      <c r="L18" s="42">
        <f t="shared" ref="L18:L19" si="4">K18*5</f>
        <v>5</v>
      </c>
      <c r="M18" s="41"/>
    </row>
    <row r="19" ht="24.75" spans="1:13">
      <c r="A19" s="2"/>
      <c r="B19" s="36">
        <f t="shared" si="0"/>
        <v>10</v>
      </c>
      <c r="C19" s="45" t="s">
        <v>65</v>
      </c>
      <c r="D19" s="38" t="s">
        <v>66</v>
      </c>
      <c r="E19" s="39" t="s">
        <v>67</v>
      </c>
      <c r="F19" s="38" t="s">
        <v>68</v>
      </c>
      <c r="G19" s="39" t="s">
        <v>69</v>
      </c>
      <c r="H19" s="40" t="s">
        <v>70</v>
      </c>
      <c r="I19" s="38" t="s">
        <v>59</v>
      </c>
      <c r="J19" s="38"/>
      <c r="K19" s="61">
        <v>1</v>
      </c>
      <c r="L19" s="39">
        <f t="shared" si="4"/>
        <v>5</v>
      </c>
      <c r="M19" s="38"/>
    </row>
    <row r="20" ht="36.75" spans="1:13">
      <c r="A20" s="2"/>
      <c r="B20" s="36">
        <f t="shared" si="0"/>
        <v>11</v>
      </c>
      <c r="C20" s="37" t="s">
        <v>71</v>
      </c>
      <c r="D20" s="41" t="s">
        <v>72</v>
      </c>
      <c r="E20" s="42" t="s">
        <v>73</v>
      </c>
      <c r="F20" s="41" t="s">
        <v>74</v>
      </c>
      <c r="G20" s="42" t="s">
        <v>75</v>
      </c>
      <c r="H20" s="43" t="s">
        <v>76</v>
      </c>
      <c r="I20" s="38" t="s">
        <v>59</v>
      </c>
      <c r="J20" s="38"/>
      <c r="K20" s="62">
        <v>3</v>
      </c>
      <c r="L20" s="42">
        <f t="shared" ref="L20:L21" si="5">K20*5</f>
        <v>15</v>
      </c>
      <c r="M20" s="41"/>
    </row>
    <row r="21" ht="15.75" spans="1:13">
      <c r="A21" s="2"/>
      <c r="B21" s="36">
        <f t="shared" si="0"/>
        <v>12</v>
      </c>
      <c r="C21" s="45" t="s">
        <v>71</v>
      </c>
      <c r="D21" s="38" t="s">
        <v>77</v>
      </c>
      <c r="E21" s="39" t="s">
        <v>78</v>
      </c>
      <c r="F21" s="38" t="s">
        <v>79</v>
      </c>
      <c r="G21" s="39" t="s">
        <v>80</v>
      </c>
      <c r="H21" s="40" t="s">
        <v>76</v>
      </c>
      <c r="I21" s="38" t="s">
        <v>59</v>
      </c>
      <c r="J21" s="38"/>
      <c r="K21" s="61">
        <v>1</v>
      </c>
      <c r="L21" s="39">
        <f t="shared" si="5"/>
        <v>5</v>
      </c>
      <c r="M21" s="38"/>
    </row>
    <row r="22" ht="24.75" spans="1:13">
      <c r="A22" s="2"/>
      <c r="B22" s="36">
        <f t="shared" si="0"/>
        <v>13</v>
      </c>
      <c r="C22" s="37" t="s">
        <v>81</v>
      </c>
      <c r="D22" s="41" t="s">
        <v>82</v>
      </c>
      <c r="E22" s="42" t="s">
        <v>83</v>
      </c>
      <c r="F22" s="41" t="s">
        <v>84</v>
      </c>
      <c r="G22" s="42" t="s">
        <v>85</v>
      </c>
      <c r="H22" s="43" t="s">
        <v>86</v>
      </c>
      <c r="I22" s="38" t="s">
        <v>59</v>
      </c>
      <c r="J22" s="38"/>
      <c r="K22" s="62">
        <v>1</v>
      </c>
      <c r="L22" s="42">
        <f t="shared" ref="L22:L23" si="6">K22*5</f>
        <v>5</v>
      </c>
      <c r="M22" s="41"/>
    </row>
    <row r="23" ht="24.75" spans="1:13">
      <c r="A23" s="2"/>
      <c r="B23" s="36">
        <f t="shared" si="0"/>
        <v>14</v>
      </c>
      <c r="C23" s="45" t="s">
        <v>87</v>
      </c>
      <c r="D23" s="38" t="s">
        <v>88</v>
      </c>
      <c r="E23" s="39" t="s">
        <v>89</v>
      </c>
      <c r="F23" s="38" t="s">
        <v>90</v>
      </c>
      <c r="G23" s="39" t="s">
        <v>91</v>
      </c>
      <c r="H23" s="40" t="s">
        <v>92</v>
      </c>
      <c r="I23" s="38" t="s">
        <v>59</v>
      </c>
      <c r="J23" s="38"/>
      <c r="K23" s="61">
        <v>1</v>
      </c>
      <c r="L23" s="39">
        <f t="shared" si="6"/>
        <v>5</v>
      </c>
      <c r="M23" s="38"/>
    </row>
    <row r="24" ht="24.75" spans="1:13">
      <c r="A24" s="2"/>
      <c r="B24" s="36">
        <f t="shared" si="0"/>
        <v>15</v>
      </c>
      <c r="C24" s="37" t="s">
        <v>93</v>
      </c>
      <c r="D24" s="41" t="s">
        <v>94</v>
      </c>
      <c r="E24" s="42" t="s">
        <v>95</v>
      </c>
      <c r="F24" s="41" t="s">
        <v>96</v>
      </c>
      <c r="G24" s="42" t="s">
        <v>97</v>
      </c>
      <c r="H24" s="43" t="s">
        <v>98</v>
      </c>
      <c r="I24" s="38" t="s">
        <v>59</v>
      </c>
      <c r="J24" s="38"/>
      <c r="K24" s="62">
        <v>1</v>
      </c>
      <c r="L24" s="42">
        <f t="shared" ref="L24:L25" si="7">K24*5</f>
        <v>5</v>
      </c>
      <c r="M24" s="41"/>
    </row>
    <row r="25" ht="15.75" spans="1:13">
      <c r="A25" s="2"/>
      <c r="B25" s="36">
        <f t="shared" si="0"/>
        <v>16</v>
      </c>
      <c r="C25" s="45" t="s">
        <v>99</v>
      </c>
      <c r="D25" s="38" t="s">
        <v>100</v>
      </c>
      <c r="E25" s="39" t="s">
        <v>101</v>
      </c>
      <c r="F25" s="38" t="s">
        <v>102</v>
      </c>
      <c r="G25" s="39">
        <v>61300211121</v>
      </c>
      <c r="H25" s="40" t="s">
        <v>103</v>
      </c>
      <c r="I25" s="38" t="s">
        <v>59</v>
      </c>
      <c r="J25" s="38"/>
      <c r="K25" s="61">
        <v>1</v>
      </c>
      <c r="L25" s="39">
        <f t="shared" si="7"/>
        <v>5</v>
      </c>
      <c r="M25" s="38"/>
    </row>
    <row r="26" ht="24.75" spans="1:13">
      <c r="A26" s="2"/>
      <c r="B26" s="36">
        <f t="shared" si="0"/>
        <v>17</v>
      </c>
      <c r="C26" s="37" t="s">
        <v>104</v>
      </c>
      <c r="D26" s="41" t="s">
        <v>105</v>
      </c>
      <c r="E26" s="42" t="s">
        <v>106</v>
      </c>
      <c r="F26" s="41" t="s">
        <v>107</v>
      </c>
      <c r="G26" s="42" t="s">
        <v>107</v>
      </c>
      <c r="H26" s="43" t="s">
        <v>108</v>
      </c>
      <c r="I26" s="41" t="s">
        <v>109</v>
      </c>
      <c r="J26" s="41"/>
      <c r="K26" s="62">
        <v>1</v>
      </c>
      <c r="L26" s="42">
        <f t="shared" ref="L26:L27" si="8">K26*5</f>
        <v>5</v>
      </c>
      <c r="M26" s="41"/>
    </row>
    <row r="27" ht="24.75" spans="1:13">
      <c r="A27" s="2"/>
      <c r="B27" s="36">
        <f t="shared" si="0"/>
        <v>18</v>
      </c>
      <c r="C27" s="45" t="s">
        <v>110</v>
      </c>
      <c r="D27" s="38" t="s">
        <v>111</v>
      </c>
      <c r="E27" s="39" t="s">
        <v>112</v>
      </c>
      <c r="F27" s="38" t="s">
        <v>113</v>
      </c>
      <c r="G27" s="39" t="s">
        <v>113</v>
      </c>
      <c r="H27" s="40" t="s">
        <v>114</v>
      </c>
      <c r="I27" s="38" t="s">
        <v>115</v>
      </c>
      <c r="J27" s="38"/>
      <c r="K27" s="61">
        <v>2</v>
      </c>
      <c r="L27" s="39">
        <f t="shared" si="8"/>
        <v>10</v>
      </c>
      <c r="M27" s="38"/>
    </row>
    <row r="28" ht="24.75" spans="1:13">
      <c r="A28" s="2"/>
      <c r="B28" s="36">
        <f t="shared" si="0"/>
        <v>19</v>
      </c>
      <c r="C28" s="37" t="s">
        <v>116</v>
      </c>
      <c r="D28" s="41" t="s">
        <v>117</v>
      </c>
      <c r="E28" s="42" t="s">
        <v>118</v>
      </c>
      <c r="F28" s="41" t="s">
        <v>119</v>
      </c>
      <c r="G28" s="42" t="s">
        <v>120</v>
      </c>
      <c r="H28" s="43" t="s">
        <v>121</v>
      </c>
      <c r="I28" s="41" t="s">
        <v>59</v>
      </c>
      <c r="J28" s="41"/>
      <c r="K28" s="62">
        <v>1</v>
      </c>
      <c r="L28" s="42">
        <f t="shared" ref="L28:L30" si="9">K28*5</f>
        <v>5</v>
      </c>
      <c r="M28" s="41"/>
    </row>
    <row r="29" ht="24.75" spans="1:13">
      <c r="A29" s="2"/>
      <c r="B29" s="36">
        <f t="shared" si="0"/>
        <v>20</v>
      </c>
      <c r="C29" s="45" t="s">
        <v>122</v>
      </c>
      <c r="D29" s="38" t="s">
        <v>123</v>
      </c>
      <c r="E29" s="39" t="s">
        <v>124</v>
      </c>
      <c r="F29" s="38" t="s">
        <v>125</v>
      </c>
      <c r="G29" s="39" t="s">
        <v>125</v>
      </c>
      <c r="H29" s="40" t="s">
        <v>126</v>
      </c>
      <c r="I29" s="38" t="s">
        <v>59</v>
      </c>
      <c r="J29" s="38"/>
      <c r="K29" s="61">
        <v>3</v>
      </c>
      <c r="L29" s="39">
        <f t="shared" si="9"/>
        <v>15</v>
      </c>
      <c r="M29" s="38"/>
    </row>
    <row r="30" ht="36.75" spans="1:13">
      <c r="A30" s="2"/>
      <c r="B30" s="36">
        <f t="shared" si="0"/>
        <v>21</v>
      </c>
      <c r="C30" s="45" t="s">
        <v>127</v>
      </c>
      <c r="D30" s="38" t="s">
        <v>128</v>
      </c>
      <c r="E30" s="39" t="s">
        <v>129</v>
      </c>
      <c r="F30" s="38" t="s">
        <v>130</v>
      </c>
      <c r="G30" s="39" t="s">
        <v>131</v>
      </c>
      <c r="H30" s="40" t="s">
        <v>132</v>
      </c>
      <c r="I30" s="38" t="s">
        <v>59</v>
      </c>
      <c r="J30" s="38"/>
      <c r="K30" s="61">
        <v>1</v>
      </c>
      <c r="L30" s="39">
        <f t="shared" si="9"/>
        <v>5</v>
      </c>
      <c r="M30" s="38"/>
    </row>
    <row r="31" ht="48.75" spans="1:13">
      <c r="A31" s="2"/>
      <c r="B31" s="36">
        <f t="shared" si="0"/>
        <v>22</v>
      </c>
      <c r="C31" s="37" t="s">
        <v>127</v>
      </c>
      <c r="D31" s="41" t="s">
        <v>133</v>
      </c>
      <c r="E31" s="42" t="s">
        <v>134</v>
      </c>
      <c r="F31" s="41" t="s">
        <v>135</v>
      </c>
      <c r="G31" s="42" t="s">
        <v>136</v>
      </c>
      <c r="H31" s="43" t="s">
        <v>137</v>
      </c>
      <c r="I31" s="38" t="s">
        <v>59</v>
      </c>
      <c r="J31" s="38"/>
      <c r="K31" s="62">
        <v>2</v>
      </c>
      <c r="L31" s="42">
        <f t="shared" ref="L31:L32" si="10">K31*5</f>
        <v>10</v>
      </c>
      <c r="M31" s="41"/>
    </row>
    <row r="32" ht="15.75" spans="1:13">
      <c r="A32" s="2"/>
      <c r="B32" s="36">
        <f t="shared" si="0"/>
        <v>23</v>
      </c>
      <c r="C32" s="45" t="s">
        <v>127</v>
      </c>
      <c r="D32" s="38" t="s">
        <v>138</v>
      </c>
      <c r="E32" s="39" t="s">
        <v>139</v>
      </c>
      <c r="F32" s="38" t="s">
        <v>140</v>
      </c>
      <c r="G32" s="39" t="s">
        <v>141</v>
      </c>
      <c r="H32" s="40" t="s">
        <v>137</v>
      </c>
      <c r="I32" s="38" t="s">
        <v>59</v>
      </c>
      <c r="J32" s="38"/>
      <c r="K32" s="61">
        <v>1</v>
      </c>
      <c r="L32" s="39">
        <f t="shared" si="10"/>
        <v>5</v>
      </c>
      <c r="M32" s="38"/>
    </row>
    <row r="33" ht="15.75" spans="1:13">
      <c r="A33" s="2"/>
      <c r="B33" s="36">
        <f t="shared" si="0"/>
        <v>24</v>
      </c>
      <c r="C33" s="37" t="s">
        <v>142</v>
      </c>
      <c r="D33" s="41" t="s">
        <v>143</v>
      </c>
      <c r="E33" s="42" t="s">
        <v>144</v>
      </c>
      <c r="F33" s="41" t="s">
        <v>145</v>
      </c>
      <c r="G33" s="42" t="s">
        <v>146</v>
      </c>
      <c r="H33" s="43" t="s">
        <v>24</v>
      </c>
      <c r="I33" s="41" t="s">
        <v>147</v>
      </c>
      <c r="J33" s="41"/>
      <c r="K33" s="62">
        <v>2</v>
      </c>
      <c r="L33" s="42">
        <f t="shared" ref="L33:L34" si="11">K33*5</f>
        <v>10</v>
      </c>
      <c r="M33" s="41"/>
    </row>
    <row r="34" ht="15.75" spans="1:13">
      <c r="A34" s="2"/>
      <c r="B34" s="36">
        <f t="shared" si="0"/>
        <v>25</v>
      </c>
      <c r="C34" s="45" t="s">
        <v>142</v>
      </c>
      <c r="D34" s="38" t="s">
        <v>148</v>
      </c>
      <c r="E34" s="39" t="s">
        <v>149</v>
      </c>
      <c r="F34" s="38" t="s">
        <v>145</v>
      </c>
      <c r="G34" s="39" t="s">
        <v>150</v>
      </c>
      <c r="H34" s="40" t="s">
        <v>24</v>
      </c>
      <c r="I34" s="38" t="s">
        <v>151</v>
      </c>
      <c r="J34" s="38"/>
      <c r="K34" s="61">
        <v>1</v>
      </c>
      <c r="L34" s="39">
        <f t="shared" si="11"/>
        <v>5</v>
      </c>
      <c r="M34" s="38"/>
    </row>
    <row r="35" ht="24.75" spans="1:13">
      <c r="A35" s="2"/>
      <c r="B35" s="36">
        <f t="shared" si="0"/>
        <v>26</v>
      </c>
      <c r="C35" s="37" t="s">
        <v>142</v>
      </c>
      <c r="D35" s="41" t="s">
        <v>152</v>
      </c>
      <c r="E35" s="42" t="s">
        <v>153</v>
      </c>
      <c r="F35" s="41" t="s">
        <v>145</v>
      </c>
      <c r="G35" s="42" t="s">
        <v>154</v>
      </c>
      <c r="H35" s="43" t="s">
        <v>155</v>
      </c>
      <c r="I35" s="41" t="s">
        <v>156</v>
      </c>
      <c r="J35" s="41"/>
      <c r="K35" s="62">
        <v>1</v>
      </c>
      <c r="L35" s="42">
        <f t="shared" ref="L35:L36" si="12">K35*5</f>
        <v>5</v>
      </c>
      <c r="M35" s="41"/>
    </row>
    <row r="36" ht="15.75" spans="1:13">
      <c r="A36" s="2"/>
      <c r="B36" s="36">
        <f t="shared" si="0"/>
        <v>27</v>
      </c>
      <c r="C36" s="45" t="s">
        <v>142</v>
      </c>
      <c r="D36" s="38" t="s">
        <v>157</v>
      </c>
      <c r="E36" s="39" t="s">
        <v>158</v>
      </c>
      <c r="F36" s="38" t="s">
        <v>145</v>
      </c>
      <c r="G36" s="39" t="s">
        <v>159</v>
      </c>
      <c r="H36" s="40" t="s">
        <v>24</v>
      </c>
      <c r="I36" s="38" t="s">
        <v>160</v>
      </c>
      <c r="J36" s="38"/>
      <c r="K36" s="61">
        <v>6</v>
      </c>
      <c r="L36" s="39">
        <f t="shared" si="12"/>
        <v>30</v>
      </c>
      <c r="M36" s="38"/>
    </row>
    <row r="37" ht="24.75" spans="1:13">
      <c r="A37" s="2"/>
      <c r="B37" s="36">
        <f t="shared" si="0"/>
        <v>28</v>
      </c>
      <c r="C37" s="37" t="s">
        <v>142</v>
      </c>
      <c r="D37" s="41" t="s">
        <v>161</v>
      </c>
      <c r="E37" s="42" t="s">
        <v>162</v>
      </c>
      <c r="F37" s="41" t="s">
        <v>163</v>
      </c>
      <c r="G37" s="42" t="s">
        <v>164</v>
      </c>
      <c r="H37" s="43" t="s">
        <v>165</v>
      </c>
      <c r="I37" s="41" t="s">
        <v>166</v>
      </c>
      <c r="J37" s="41"/>
      <c r="K37" s="62">
        <v>1</v>
      </c>
      <c r="L37" s="42">
        <f t="shared" ref="L37:L38" si="13">K37*5</f>
        <v>5</v>
      </c>
      <c r="M37" s="41"/>
    </row>
    <row r="38" ht="15.75" spans="1:13">
      <c r="A38" s="2"/>
      <c r="B38" s="36">
        <f t="shared" si="0"/>
        <v>29</v>
      </c>
      <c r="C38" s="45" t="s">
        <v>142</v>
      </c>
      <c r="D38" s="38" t="s">
        <v>167</v>
      </c>
      <c r="E38" s="39" t="s">
        <v>168</v>
      </c>
      <c r="F38" s="38" t="s">
        <v>145</v>
      </c>
      <c r="G38" s="39" t="s">
        <v>169</v>
      </c>
      <c r="H38" s="40" t="s">
        <v>24</v>
      </c>
      <c r="I38" s="38" t="s">
        <v>170</v>
      </c>
      <c r="J38" s="38"/>
      <c r="K38" s="61">
        <v>3</v>
      </c>
      <c r="L38" s="39">
        <f t="shared" si="13"/>
        <v>15</v>
      </c>
      <c r="M38" s="38"/>
    </row>
    <row r="39" ht="15.75" spans="1:13">
      <c r="A39" s="2"/>
      <c r="B39" s="36">
        <f t="shared" si="0"/>
        <v>30</v>
      </c>
      <c r="C39" s="45" t="s">
        <v>142</v>
      </c>
      <c r="D39" s="41" t="s">
        <v>171</v>
      </c>
      <c r="E39" s="42" t="s">
        <v>172</v>
      </c>
      <c r="F39" s="41" t="s">
        <v>145</v>
      </c>
      <c r="G39" s="42" t="s">
        <v>173</v>
      </c>
      <c r="H39" s="43" t="s">
        <v>24</v>
      </c>
      <c r="I39" s="41" t="s">
        <v>174</v>
      </c>
      <c r="J39" s="41"/>
      <c r="K39" s="62">
        <v>3</v>
      </c>
      <c r="L39" s="42">
        <f t="shared" ref="L39:L40" si="14">K39*5</f>
        <v>15</v>
      </c>
      <c r="M39" s="41"/>
    </row>
    <row r="40" spans="1:13">
      <c r="A40" s="2"/>
      <c r="B40" s="36">
        <f t="shared" si="0"/>
        <v>31</v>
      </c>
      <c r="C40" s="45" t="s">
        <v>142</v>
      </c>
      <c r="D40" s="38" t="s">
        <v>175</v>
      </c>
      <c r="E40" s="39" t="s">
        <v>176</v>
      </c>
      <c r="F40" s="38" t="s">
        <v>145</v>
      </c>
      <c r="G40" s="39" t="s">
        <v>177</v>
      </c>
      <c r="H40" s="40" t="s">
        <v>24</v>
      </c>
      <c r="I40" s="38" t="s">
        <v>178</v>
      </c>
      <c r="J40" s="38"/>
      <c r="K40" s="61">
        <v>3</v>
      </c>
      <c r="L40" s="39">
        <f t="shared" si="14"/>
        <v>15</v>
      </c>
      <c r="M40" s="38"/>
    </row>
    <row r="41" spans="1:13">
      <c r="A41" s="2"/>
      <c r="B41" s="36">
        <f>ROW(B41)-ROW($B$9)</f>
        <v>32</v>
      </c>
      <c r="C41" s="45" t="s">
        <v>142</v>
      </c>
      <c r="D41" s="38" t="s">
        <v>179</v>
      </c>
      <c r="E41" s="39" t="s">
        <v>180</v>
      </c>
      <c r="F41" s="38" t="s">
        <v>163</v>
      </c>
      <c r="G41" s="39" t="s">
        <v>181</v>
      </c>
      <c r="H41" s="40" t="s">
        <v>24</v>
      </c>
      <c r="I41" s="38" t="s">
        <v>160</v>
      </c>
      <c r="J41" s="38"/>
      <c r="K41" s="61">
        <v>2</v>
      </c>
      <c r="L41" s="39">
        <f>K41*5</f>
        <v>10</v>
      </c>
      <c r="M41" s="38"/>
    </row>
    <row r="42" spans="1:13">
      <c r="A42" s="2"/>
      <c r="B42" s="36">
        <f>ROW(B42)-ROW($B$9)</f>
        <v>33</v>
      </c>
      <c r="C42" s="37" t="s">
        <v>142</v>
      </c>
      <c r="D42" s="41" t="s">
        <v>182</v>
      </c>
      <c r="E42" s="42" t="s">
        <v>183</v>
      </c>
      <c r="F42" s="41" t="s">
        <v>145</v>
      </c>
      <c r="G42" s="42" t="s">
        <v>184</v>
      </c>
      <c r="H42" s="43" t="s">
        <v>24</v>
      </c>
      <c r="I42" s="41" t="s">
        <v>185</v>
      </c>
      <c r="J42" s="41"/>
      <c r="K42" s="62">
        <v>2</v>
      </c>
      <c r="L42" s="42">
        <f t="shared" ref="L42:L43" si="15">K42*5</f>
        <v>10</v>
      </c>
      <c r="M42" s="41"/>
    </row>
    <row r="43" ht="15.75" spans="1:13">
      <c r="A43" s="2"/>
      <c r="B43" s="36">
        <f>ROW(B43)-ROW($B$9)</f>
        <v>34</v>
      </c>
      <c r="C43" s="45" t="s">
        <v>142</v>
      </c>
      <c r="D43" s="38" t="s">
        <v>186</v>
      </c>
      <c r="E43" s="39" t="s">
        <v>187</v>
      </c>
      <c r="F43" s="38" t="s">
        <v>145</v>
      </c>
      <c r="G43" s="39" t="s">
        <v>188</v>
      </c>
      <c r="H43" s="40" t="s">
        <v>24</v>
      </c>
      <c r="I43" s="38" t="s">
        <v>189</v>
      </c>
      <c r="J43" s="38"/>
      <c r="K43" s="61">
        <v>4</v>
      </c>
      <c r="L43" s="39">
        <f t="shared" si="15"/>
        <v>20</v>
      </c>
      <c r="M43" s="38"/>
    </row>
    <row r="44" ht="15.75" spans="1:13">
      <c r="A44" s="2"/>
      <c r="B44" s="36">
        <f>ROW(B44)-ROW($B$9)</f>
        <v>35</v>
      </c>
      <c r="C44" s="45" t="s">
        <v>142</v>
      </c>
      <c r="D44" s="38" t="s">
        <v>190</v>
      </c>
      <c r="E44" s="42" t="s">
        <v>191</v>
      </c>
      <c r="F44" s="41" t="s">
        <v>145</v>
      </c>
      <c r="G44" s="42" t="s">
        <v>192</v>
      </c>
      <c r="H44" s="43" t="s">
        <v>24</v>
      </c>
      <c r="I44" s="41" t="s">
        <v>193</v>
      </c>
      <c r="J44" s="41"/>
      <c r="K44" s="62">
        <v>2</v>
      </c>
      <c r="L44" s="42">
        <f t="shared" ref="L44:L45" si="16">K44*5</f>
        <v>10</v>
      </c>
      <c r="M44" s="41"/>
    </row>
    <row r="45" ht="48.75" spans="1:13">
      <c r="A45" s="2"/>
      <c r="B45" s="36">
        <f>ROW(B45)-ROW($B$9)</f>
        <v>36</v>
      </c>
      <c r="C45" s="45" t="s">
        <v>194</v>
      </c>
      <c r="D45" s="38" t="s">
        <v>195</v>
      </c>
      <c r="E45" s="39" t="s">
        <v>196</v>
      </c>
      <c r="F45" s="38" t="s">
        <v>197</v>
      </c>
      <c r="G45" s="39" t="s">
        <v>197</v>
      </c>
      <c r="H45" s="40" t="s">
        <v>198</v>
      </c>
      <c r="I45" s="38" t="s">
        <v>59</v>
      </c>
      <c r="J45" s="38"/>
      <c r="K45" s="61">
        <v>1</v>
      </c>
      <c r="L45" s="39">
        <f t="shared" si="16"/>
        <v>5</v>
      </c>
      <c r="M45" s="38"/>
    </row>
    <row r="46" ht="24.75" spans="1:13">
      <c r="A46" s="2"/>
      <c r="B46" s="36">
        <f>ROW(B46)-ROW($B$9)</f>
        <v>37</v>
      </c>
      <c r="C46" s="37" t="s">
        <v>199</v>
      </c>
      <c r="D46" s="41" t="s">
        <v>200</v>
      </c>
      <c r="E46" s="42" t="s">
        <v>201</v>
      </c>
      <c r="F46" s="41" t="s">
        <v>202</v>
      </c>
      <c r="G46" s="41" t="s">
        <v>202</v>
      </c>
      <c r="H46" s="43" t="s">
        <v>203</v>
      </c>
      <c r="I46" s="38" t="s">
        <v>59</v>
      </c>
      <c r="J46" s="38"/>
      <c r="K46" s="62">
        <v>4</v>
      </c>
      <c r="L46" s="42">
        <f t="shared" ref="L46:L47" si="17">K46*5</f>
        <v>20</v>
      </c>
      <c r="M46" s="41"/>
    </row>
    <row r="47" ht="48.75" spans="1:13">
      <c r="A47" s="2"/>
      <c r="B47" s="36">
        <f>ROW(B47)-ROW($B$9)</f>
        <v>38</v>
      </c>
      <c r="C47" s="45" t="s">
        <v>194</v>
      </c>
      <c r="D47" s="38" t="s">
        <v>204</v>
      </c>
      <c r="E47" s="39" t="s">
        <v>205</v>
      </c>
      <c r="F47" s="38" t="s">
        <v>206</v>
      </c>
      <c r="G47" s="39" t="s">
        <v>207</v>
      </c>
      <c r="H47" s="40" t="s">
        <v>198</v>
      </c>
      <c r="I47" s="38" t="s">
        <v>59</v>
      </c>
      <c r="J47" s="38"/>
      <c r="K47" s="61">
        <v>1</v>
      </c>
      <c r="L47" s="39">
        <f t="shared" si="17"/>
        <v>5</v>
      </c>
      <c r="M47" s="38"/>
    </row>
    <row r="48" ht="15.75" spans="1:13">
      <c r="A48" s="2"/>
      <c r="B48" s="36">
        <f>ROW(B48)-ROW($B$9)</f>
        <v>39</v>
      </c>
      <c r="C48" s="37" t="s">
        <v>127</v>
      </c>
      <c r="D48" s="41" t="s">
        <v>208</v>
      </c>
      <c r="E48" s="42" t="s">
        <v>209</v>
      </c>
      <c r="F48" s="41" t="s">
        <v>210</v>
      </c>
      <c r="G48" s="42" t="s">
        <v>211</v>
      </c>
      <c r="H48" s="43" t="s">
        <v>212</v>
      </c>
      <c r="I48" s="38" t="s">
        <v>59</v>
      </c>
      <c r="J48" s="38"/>
      <c r="K48" s="62">
        <v>1</v>
      </c>
      <c r="L48" s="42">
        <f t="shared" ref="L48:L49" si="18">K48*5</f>
        <v>5</v>
      </c>
      <c r="M48" s="41"/>
    </row>
    <row r="49" ht="24.75" spans="1:13">
      <c r="A49" s="2"/>
      <c r="B49" s="36">
        <f>ROW(B49)-ROW($B$9)</f>
        <v>40</v>
      </c>
      <c r="C49" s="45" t="s">
        <v>213</v>
      </c>
      <c r="D49" s="38" t="s">
        <v>214</v>
      </c>
      <c r="E49" s="39" t="s">
        <v>215</v>
      </c>
      <c r="F49" s="38" t="s">
        <v>216</v>
      </c>
      <c r="G49" s="39" t="s">
        <v>217</v>
      </c>
      <c r="H49" s="40" t="s">
        <v>218</v>
      </c>
      <c r="I49" s="38" t="s">
        <v>59</v>
      </c>
      <c r="J49" s="38"/>
      <c r="K49" s="61">
        <v>1</v>
      </c>
      <c r="L49" s="39">
        <f t="shared" si="18"/>
        <v>5</v>
      </c>
      <c r="M49" s="38"/>
    </row>
    <row r="50" ht="36.75" spans="1:13">
      <c r="A50" s="2"/>
      <c r="B50" s="36">
        <f>ROW(B50)-ROW($B$9)</f>
        <v>41</v>
      </c>
      <c r="C50" s="37" t="s">
        <v>213</v>
      </c>
      <c r="D50" s="41" t="s">
        <v>219</v>
      </c>
      <c r="E50" s="42" t="s">
        <v>220</v>
      </c>
      <c r="F50" s="41" t="s">
        <v>221</v>
      </c>
      <c r="G50" s="42" t="s">
        <v>222</v>
      </c>
      <c r="H50" s="43" t="s">
        <v>218</v>
      </c>
      <c r="I50" s="38" t="s">
        <v>59</v>
      </c>
      <c r="J50" s="38"/>
      <c r="K50" s="62">
        <v>1</v>
      </c>
      <c r="L50" s="42">
        <f t="shared" ref="L50:L51" si="19">K50*5</f>
        <v>5</v>
      </c>
      <c r="M50" s="41"/>
    </row>
    <row r="51" ht="15.75" spans="1:13">
      <c r="A51" s="2"/>
      <c r="B51" s="36">
        <f>ROW(B51)-ROW($B$9)</f>
        <v>42</v>
      </c>
      <c r="C51" s="45" t="s">
        <v>223</v>
      </c>
      <c r="D51" s="38" t="s">
        <v>224</v>
      </c>
      <c r="E51" s="39" t="s">
        <v>225</v>
      </c>
      <c r="F51" s="38" t="s">
        <v>226</v>
      </c>
      <c r="G51" s="39" t="s">
        <v>227</v>
      </c>
      <c r="H51" s="40" t="s">
        <v>228</v>
      </c>
      <c r="I51" s="38" t="s">
        <v>59</v>
      </c>
      <c r="J51" s="38"/>
      <c r="K51" s="61">
        <v>1</v>
      </c>
      <c r="L51" s="39">
        <f t="shared" si="19"/>
        <v>5</v>
      </c>
      <c r="M51" s="38"/>
    </row>
    <row r="52" ht="24.75" spans="1:13">
      <c r="A52" s="2"/>
      <c r="B52" s="36">
        <f>ROW(B52)-ROW($B$9)</f>
        <v>43</v>
      </c>
      <c r="C52" s="37" t="s">
        <v>213</v>
      </c>
      <c r="D52" s="41" t="s">
        <v>229</v>
      </c>
      <c r="E52" s="42" t="s">
        <v>230</v>
      </c>
      <c r="F52" s="41" t="s">
        <v>231</v>
      </c>
      <c r="G52" s="42" t="s">
        <v>232</v>
      </c>
      <c r="H52" s="43" t="s">
        <v>233</v>
      </c>
      <c r="I52" s="38" t="s">
        <v>59</v>
      </c>
      <c r="J52" s="38"/>
      <c r="K52" s="62">
        <v>1</v>
      </c>
      <c r="L52" s="42">
        <f t="shared" ref="L52:L53" si="20">K52*5</f>
        <v>5</v>
      </c>
      <c r="M52" s="41"/>
    </row>
    <row r="53" ht="15.75" spans="1:13">
      <c r="A53" s="2"/>
      <c r="B53" s="36">
        <f>ROW(B53)-ROW($B$9)</f>
        <v>44</v>
      </c>
      <c r="C53" s="45" t="s">
        <v>213</v>
      </c>
      <c r="D53" s="38" t="s">
        <v>234</v>
      </c>
      <c r="E53" s="39" t="s">
        <v>235</v>
      </c>
      <c r="F53" s="38" t="s">
        <v>236</v>
      </c>
      <c r="G53" s="39" t="s">
        <v>237</v>
      </c>
      <c r="H53" s="40" t="s">
        <v>238</v>
      </c>
      <c r="I53" s="38" t="s">
        <v>59</v>
      </c>
      <c r="J53" s="38"/>
      <c r="K53" s="61">
        <v>1</v>
      </c>
      <c r="L53" s="39">
        <f t="shared" si="20"/>
        <v>5</v>
      </c>
      <c r="M53" s="38"/>
    </row>
    <row r="54" ht="15.75" spans="1:13">
      <c r="A54" s="2"/>
      <c r="B54" s="36">
        <f>ROW(B54)-ROW($B$9)</f>
        <v>45</v>
      </c>
      <c r="C54" s="37" t="s">
        <v>213</v>
      </c>
      <c r="D54" s="41" t="s">
        <v>239</v>
      </c>
      <c r="E54" s="42" t="s">
        <v>240</v>
      </c>
      <c r="F54" s="41" t="s">
        <v>241</v>
      </c>
      <c r="G54" s="42" t="s">
        <v>242</v>
      </c>
      <c r="H54" s="43" t="s">
        <v>238</v>
      </c>
      <c r="I54" s="38" t="s">
        <v>59</v>
      </c>
      <c r="J54" s="38"/>
      <c r="K54" s="62">
        <v>1</v>
      </c>
      <c r="L54" s="42">
        <f t="shared" ref="L54:L57" si="21">K54*5</f>
        <v>5</v>
      </c>
      <c r="M54" s="41"/>
    </row>
    <row r="55" ht="15.75" spans="1:13">
      <c r="A55" s="2"/>
      <c r="B55" s="36">
        <f>ROW(B55)-ROW($B$9)</f>
        <v>46</v>
      </c>
      <c r="C55" s="37" t="s">
        <v>243</v>
      </c>
      <c r="D55" s="41" t="s">
        <v>244</v>
      </c>
      <c r="E55" s="42" t="s">
        <v>245</v>
      </c>
      <c r="F55" s="41" t="s">
        <v>59</v>
      </c>
      <c r="G55" s="42" t="s">
        <v>246</v>
      </c>
      <c r="H55" s="43"/>
      <c r="I55" s="63"/>
      <c r="J55" s="38"/>
      <c r="K55" s="62">
        <v>1</v>
      </c>
      <c r="L55" s="42">
        <f t="shared" si="21"/>
        <v>5</v>
      </c>
      <c r="M55" s="41"/>
    </row>
    <row r="56" ht="48.75" spans="1:13">
      <c r="A56" s="2"/>
      <c r="B56" s="36">
        <f>ROW(B56)-ROW($B$9)</f>
        <v>47</v>
      </c>
      <c r="C56" s="44" t="s">
        <v>247</v>
      </c>
      <c r="D56" s="41" t="s">
        <v>244</v>
      </c>
      <c r="E56" s="42" t="s">
        <v>248</v>
      </c>
      <c r="F56" s="41" t="s">
        <v>59</v>
      </c>
      <c r="G56" s="41" t="s">
        <v>59</v>
      </c>
      <c r="H56" s="42" t="s">
        <v>59</v>
      </c>
      <c r="I56" s="38" t="s">
        <v>59</v>
      </c>
      <c r="J56" s="64" t="s">
        <v>249</v>
      </c>
      <c r="K56" s="62">
        <v>1</v>
      </c>
      <c r="L56" s="42">
        <f t="shared" si="21"/>
        <v>5</v>
      </c>
      <c r="M56" s="41"/>
    </row>
    <row r="57" ht="48.75" spans="1:13">
      <c r="A57" s="2"/>
      <c r="B57" s="36">
        <f>ROW(B57)-ROW($B$9)</f>
        <v>48</v>
      </c>
      <c r="C57" s="37" t="s">
        <v>250</v>
      </c>
      <c r="D57" s="41" t="s">
        <v>244</v>
      </c>
      <c r="E57" s="42" t="s">
        <v>251</v>
      </c>
      <c r="F57" s="41" t="s">
        <v>59</v>
      </c>
      <c r="G57" s="42" t="s">
        <v>59</v>
      </c>
      <c r="H57" s="43" t="s">
        <v>59</v>
      </c>
      <c r="I57" s="38"/>
      <c r="J57" s="64" t="s">
        <v>249</v>
      </c>
      <c r="K57" s="62">
        <v>1</v>
      </c>
      <c r="L57" s="42">
        <f t="shared" si="21"/>
        <v>5</v>
      </c>
      <c r="M57" s="41"/>
    </row>
    <row r="58" spans="1:13">
      <c r="A58" s="2"/>
      <c r="B58" s="46"/>
      <c r="C58" s="47"/>
      <c r="D58" s="48"/>
      <c r="E58" s="49"/>
      <c r="F58" s="50"/>
      <c r="G58" s="51"/>
      <c r="H58" s="50"/>
      <c r="I58" s="51"/>
      <c r="J58" s="51"/>
      <c r="K58" s="51"/>
      <c r="L58" s="51"/>
      <c r="M58" s="65"/>
    </row>
    <row r="59" ht="15.75" spans="1:13">
      <c r="A59" s="2"/>
      <c r="B59" s="52"/>
      <c r="C59" s="53"/>
      <c r="D59" s="54"/>
      <c r="E59" s="55"/>
      <c r="F59" s="55"/>
      <c r="G59" s="55"/>
      <c r="H59" s="55"/>
      <c r="I59" s="55"/>
      <c r="J59" s="55"/>
      <c r="K59" s="55"/>
      <c r="L59" s="55"/>
      <c r="M59" s="66"/>
    </row>
  </sheetData>
  <mergeCells count="2">
    <mergeCell ref="I1:M1"/>
    <mergeCell ref="M3:M8"/>
  </mergeCells>
  <hyperlinks>
    <hyperlink ref="J57" r:id="rId2" display="Aliexpress"/>
    <hyperlink ref="J56" r:id="rId3" display="Aliexpress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 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2019-12-12T10:34:00Z</dcterms:created>
  <dcterms:modified xsi:type="dcterms:W3CDTF">2024-04-08T08:32:29Z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84D909143BAC4EFAB2350AC6BA340FE6_12</vt:lpwstr>
  </property>
  <property fmtid="{D5CDD505-2E9C-101B-9397-08002B2CF9AE}" pid="3" name="KSOProductBuildVer">
    <vt:lpwstr>2057-12.2.0.16731</vt:lpwstr>
  </property>
</Properties>
</file>