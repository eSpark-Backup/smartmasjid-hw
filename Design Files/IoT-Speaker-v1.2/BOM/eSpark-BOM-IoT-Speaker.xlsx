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IoT-Speaker-v1.2\BOM\"/>
    </mc:Choice>
  </mc:AlternateContent>
  <bookViews>
    <workbookView xWindow="28680" yWindow="-120" windowWidth="29040" windowHeight="15840" activeTab="2"/>
  </bookViews>
  <sheets>
    <sheet name="2 Boards" sheetId="2" r:id="rId1"/>
    <sheet name="5 Boards" sheetId="1" r:id="rId2"/>
    <sheet name="50 Boards" sheetId="3" r:id="rId3"/>
  </sheets>
  <calcPr calcId="162913"/>
</workbook>
</file>

<file path=xl/calcChain.xml><?xml version="1.0" encoding="utf-8"?>
<calcChain xmlns="http://schemas.openxmlformats.org/spreadsheetml/2006/main">
  <c r="M61" i="3" l="1"/>
  <c r="Q61" i="3"/>
  <c r="M61" i="1"/>
  <c r="Q61" i="1"/>
  <c r="Q61" i="2"/>
  <c r="M61" i="2"/>
  <c r="M51" i="3" l="1"/>
  <c r="Q51" i="3"/>
  <c r="M46" i="3"/>
  <c r="M47" i="3"/>
  <c r="Q47" i="3"/>
  <c r="B47" i="3"/>
  <c r="Q46" i="3"/>
  <c r="B46" i="3"/>
  <c r="M34" i="3"/>
  <c r="Q34" i="3"/>
  <c r="B34" i="3"/>
  <c r="M51" i="1"/>
  <c r="M46" i="1"/>
  <c r="M47" i="1"/>
  <c r="Q47" i="1"/>
  <c r="B47" i="1"/>
  <c r="Q46" i="1"/>
  <c r="B46" i="1"/>
  <c r="M34" i="1"/>
  <c r="B34" i="1"/>
  <c r="Q34" i="1"/>
  <c r="Q46" i="2" l="1"/>
  <c r="Q47" i="2"/>
  <c r="M47" i="2"/>
  <c r="M46" i="2"/>
  <c r="B46" i="2"/>
  <c r="B47" i="2"/>
  <c r="Q34" i="2"/>
  <c r="M34" i="2"/>
  <c r="B34" i="2"/>
  <c r="M63" i="3" l="1"/>
  <c r="Q63" i="3"/>
  <c r="Q63" i="1"/>
  <c r="M63" i="1"/>
  <c r="Q63" i="2"/>
  <c r="M63" i="2"/>
  <c r="B63" i="1"/>
  <c r="B63" i="2"/>
  <c r="B63" i="3"/>
  <c r="M11" i="3" l="1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5" i="3"/>
  <c r="M36" i="3"/>
  <c r="M37" i="3"/>
  <c r="M38" i="3"/>
  <c r="M39" i="3"/>
  <c r="M40" i="3"/>
  <c r="M41" i="3"/>
  <c r="M42" i="3"/>
  <c r="M43" i="3"/>
  <c r="M44" i="3"/>
  <c r="M45" i="3"/>
  <c r="M48" i="3"/>
  <c r="M49" i="3"/>
  <c r="M50" i="3"/>
  <c r="M52" i="3"/>
  <c r="M53" i="3"/>
  <c r="M54" i="3"/>
  <c r="M55" i="3"/>
  <c r="M56" i="3"/>
  <c r="M57" i="3"/>
  <c r="M58" i="3"/>
  <c r="M59" i="3"/>
  <c r="M60" i="3"/>
  <c r="M62" i="3"/>
  <c r="M10" i="3"/>
  <c r="Q62" i="3"/>
  <c r="B62" i="3"/>
  <c r="Q60" i="3"/>
  <c r="B60" i="3"/>
  <c r="Q59" i="3"/>
  <c r="B59" i="3"/>
  <c r="Q58" i="3"/>
  <c r="B58" i="3"/>
  <c r="Q57" i="3"/>
  <c r="B57" i="3"/>
  <c r="Q56" i="3"/>
  <c r="B56" i="3"/>
  <c r="Q55" i="3"/>
  <c r="B55" i="3"/>
  <c r="Q54" i="3"/>
  <c r="B54" i="3"/>
  <c r="Q53" i="3"/>
  <c r="B53" i="3"/>
  <c r="Q52" i="3"/>
  <c r="B52" i="3"/>
  <c r="B51" i="3"/>
  <c r="Q50" i="3"/>
  <c r="B50" i="3"/>
  <c r="B49" i="3"/>
  <c r="Q48" i="3"/>
  <c r="B48" i="3"/>
  <c r="Q45" i="3"/>
  <c r="B45" i="3"/>
  <c r="Q44" i="3"/>
  <c r="B44" i="3"/>
  <c r="Q43" i="3"/>
  <c r="B43" i="3"/>
  <c r="Q42" i="3"/>
  <c r="B42" i="3"/>
  <c r="Q41" i="3"/>
  <c r="B41" i="3"/>
  <c r="Q40" i="3"/>
  <c r="B40" i="3"/>
  <c r="Q39" i="3"/>
  <c r="B39" i="3"/>
  <c r="Q38" i="3"/>
  <c r="B38" i="3"/>
  <c r="Q37" i="3"/>
  <c r="B37" i="3"/>
  <c r="Q36" i="3"/>
  <c r="B36" i="3"/>
  <c r="Q35" i="3"/>
  <c r="B35" i="3"/>
  <c r="Q33" i="3"/>
  <c r="B33" i="3"/>
  <c r="Q32" i="3"/>
  <c r="B32" i="3"/>
  <c r="B31" i="3"/>
  <c r="Q30" i="3"/>
  <c r="B30" i="3"/>
  <c r="Q29" i="3"/>
  <c r="B29" i="3"/>
  <c r="Q28" i="3"/>
  <c r="B28" i="3"/>
  <c r="Q27" i="3"/>
  <c r="B27" i="3"/>
  <c r="Q26" i="3"/>
  <c r="B26" i="3"/>
  <c r="Q25" i="3"/>
  <c r="B25" i="3"/>
  <c r="Q24" i="3"/>
  <c r="B24" i="3"/>
  <c r="Q23" i="3"/>
  <c r="B23" i="3"/>
  <c r="Q22" i="3"/>
  <c r="B22" i="3"/>
  <c r="Q21" i="3"/>
  <c r="B21" i="3"/>
  <c r="Q20" i="3"/>
  <c r="B20" i="3"/>
  <c r="Q19" i="3"/>
  <c r="B19" i="3"/>
  <c r="Q18" i="3"/>
  <c r="B18" i="3"/>
  <c r="Q17" i="3"/>
  <c r="B17" i="3"/>
  <c r="Q16" i="3"/>
  <c r="B16" i="3"/>
  <c r="Q15" i="3"/>
  <c r="B15" i="3"/>
  <c r="Q14" i="3"/>
  <c r="B14" i="3"/>
  <c r="Q13" i="3"/>
  <c r="B13" i="3"/>
  <c r="Q12" i="3"/>
  <c r="B12" i="3"/>
  <c r="Q11" i="3"/>
  <c r="B11" i="3"/>
  <c r="Q10" i="3"/>
  <c r="B10" i="3"/>
  <c r="Q64" i="3" l="1"/>
  <c r="Q65" i="3" s="1"/>
  <c r="Q51" i="1"/>
  <c r="B51" i="1"/>
  <c r="B51" i="2"/>
  <c r="Q51" i="2"/>
  <c r="M51" i="2"/>
  <c r="Q43" i="1" l="1"/>
  <c r="Q32" i="1"/>
  <c r="B62" i="1" l="1"/>
  <c r="B60" i="1"/>
  <c r="B59" i="1"/>
  <c r="B58" i="1"/>
  <c r="B57" i="1"/>
  <c r="B56" i="1"/>
  <c r="B55" i="1"/>
  <c r="B54" i="1"/>
  <c r="B53" i="1"/>
  <c r="B52" i="1"/>
  <c r="B50" i="1"/>
  <c r="B49" i="1"/>
  <c r="B41" i="1"/>
  <c r="B48" i="1"/>
  <c r="B45" i="1"/>
  <c r="B44" i="1"/>
  <c r="B42" i="1"/>
  <c r="B43" i="1"/>
  <c r="B40" i="1"/>
  <c r="B39" i="1"/>
  <c r="B38" i="1"/>
  <c r="B37" i="1"/>
  <c r="B36" i="1"/>
  <c r="B35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M60" i="2"/>
  <c r="M59" i="2"/>
  <c r="M58" i="2"/>
  <c r="M57" i="2"/>
  <c r="M55" i="2"/>
  <c r="M54" i="2"/>
  <c r="M53" i="2"/>
  <c r="M41" i="2"/>
  <c r="M48" i="2"/>
  <c r="M45" i="2"/>
  <c r="M44" i="2"/>
  <c r="M42" i="2"/>
  <c r="M40" i="2"/>
  <c r="M39" i="2"/>
  <c r="M38" i="2"/>
  <c r="M37" i="2"/>
  <c r="M36" i="2"/>
  <c r="M30" i="2"/>
  <c r="M27" i="2"/>
  <c r="M26" i="2"/>
  <c r="M25" i="2"/>
  <c r="M21" i="2"/>
  <c r="M19" i="2"/>
  <c r="M16" i="2"/>
  <c r="M13" i="2"/>
  <c r="M11" i="2"/>
  <c r="M12" i="2"/>
  <c r="M14" i="2"/>
  <c r="M15" i="2"/>
  <c r="M17" i="2"/>
  <c r="M18" i="2"/>
  <c r="M20" i="2"/>
  <c r="M22" i="2"/>
  <c r="M23" i="2"/>
  <c r="M24" i="2"/>
  <c r="M28" i="2"/>
  <c r="M29" i="2"/>
  <c r="M31" i="2"/>
  <c r="M32" i="2"/>
  <c r="M33" i="2"/>
  <c r="M35" i="2"/>
  <c r="M43" i="2"/>
  <c r="M49" i="2"/>
  <c r="M50" i="2"/>
  <c r="M52" i="2"/>
  <c r="M56" i="2"/>
  <c r="M62" i="2"/>
  <c r="Q42" i="2"/>
  <c r="B42" i="2"/>
  <c r="Q60" i="2"/>
  <c r="B60" i="2"/>
  <c r="Q59" i="2"/>
  <c r="B59" i="2"/>
  <c r="Q58" i="2"/>
  <c r="B58" i="2"/>
  <c r="Q57" i="2"/>
  <c r="B57" i="2"/>
  <c r="Q55" i="2"/>
  <c r="B55" i="2"/>
  <c r="Q54" i="2"/>
  <c r="B54" i="2"/>
  <c r="Q53" i="2"/>
  <c r="B53" i="2"/>
  <c r="Q41" i="2"/>
  <c r="B41" i="2"/>
  <c r="Q48" i="2"/>
  <c r="B48" i="2"/>
  <c r="Q45" i="2"/>
  <c r="B45" i="2"/>
  <c r="Q44" i="2"/>
  <c r="B44" i="2"/>
  <c r="Q40" i="2"/>
  <c r="B40" i="2"/>
  <c r="Q38" i="2"/>
  <c r="B38" i="2"/>
  <c r="Q37" i="2"/>
  <c r="B37" i="2"/>
  <c r="Q36" i="2"/>
  <c r="B36" i="2"/>
  <c r="Q30" i="2"/>
  <c r="B30" i="2"/>
  <c r="Q27" i="2"/>
  <c r="B27" i="2"/>
  <c r="Q26" i="2"/>
  <c r="B26" i="2"/>
  <c r="Q25" i="2"/>
  <c r="B25" i="2"/>
  <c r="Q21" i="2"/>
  <c r="B21" i="2"/>
  <c r="Q19" i="2"/>
  <c r="B19" i="2"/>
  <c r="Q17" i="2"/>
  <c r="B17" i="2"/>
  <c r="Q16" i="2"/>
  <c r="B16" i="2"/>
  <c r="Q13" i="2"/>
  <c r="B13" i="2"/>
  <c r="Q52" i="2" l="1"/>
  <c r="Q62" i="2"/>
  <c r="Q56" i="2"/>
  <c r="Q50" i="2"/>
  <c r="Q35" i="2"/>
  <c r="Q43" i="2"/>
  <c r="Q39" i="2"/>
  <c r="Q33" i="2"/>
  <c r="Q32" i="2"/>
  <c r="Q29" i="2"/>
  <c r="Q28" i="2"/>
  <c r="Q24" i="2"/>
  <c r="Q22" i="2"/>
  <c r="Q23" i="2"/>
  <c r="Q20" i="2"/>
  <c r="Q18" i="2"/>
  <c r="Q15" i="2"/>
  <c r="Q12" i="2"/>
  <c r="Q14" i="2"/>
  <c r="Q11" i="2"/>
  <c r="Q10" i="2"/>
  <c r="B62" i="2"/>
  <c r="B56" i="2"/>
  <c r="B52" i="2"/>
  <c r="B50" i="2"/>
  <c r="B49" i="2"/>
  <c r="B35" i="2"/>
  <c r="B43" i="2"/>
  <c r="B39" i="2"/>
  <c r="B33" i="2"/>
  <c r="B32" i="2"/>
  <c r="B31" i="2"/>
  <c r="B29" i="2"/>
  <c r="B28" i="2"/>
  <c r="B24" i="2"/>
  <c r="B22" i="2"/>
  <c r="B23" i="2"/>
  <c r="B20" i="2"/>
  <c r="B18" i="2"/>
  <c r="B15" i="2"/>
  <c r="B12" i="2"/>
  <c r="B14" i="2"/>
  <c r="B11" i="2"/>
  <c r="B10" i="2"/>
  <c r="Q64" i="2" l="1"/>
  <c r="Q65" i="2" s="1"/>
  <c r="Q48" i="1" l="1"/>
  <c r="M48" i="1"/>
  <c r="Q42" i="1" l="1"/>
  <c r="Q33" i="1"/>
  <c r="M12" i="1"/>
  <c r="M11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5" i="1"/>
  <c r="M36" i="1"/>
  <c r="M37" i="1"/>
  <c r="M38" i="1"/>
  <c r="M39" i="1"/>
  <c r="M40" i="1"/>
  <c r="M43" i="1"/>
  <c r="M42" i="1"/>
  <c r="M44" i="1"/>
  <c r="M45" i="1"/>
  <c r="M49" i="1"/>
  <c r="M41" i="1"/>
  <c r="M50" i="1"/>
  <c r="M52" i="1"/>
  <c r="M53" i="1"/>
  <c r="M54" i="1"/>
  <c r="M55" i="1"/>
  <c r="M56" i="1"/>
  <c r="M57" i="1"/>
  <c r="M58" i="1"/>
  <c r="M59" i="1"/>
  <c r="M60" i="1"/>
  <c r="M62" i="1"/>
  <c r="M10" i="2" l="1"/>
  <c r="Q62" i="1" l="1"/>
  <c r="Q60" i="1"/>
  <c r="Q59" i="1"/>
  <c r="Q58" i="1"/>
  <c r="Q57" i="1"/>
  <c r="Q56" i="1"/>
  <c r="Q55" i="1"/>
  <c r="Q54" i="1"/>
  <c r="Q53" i="1"/>
  <c r="Q52" i="1"/>
  <c r="Q50" i="1"/>
  <c r="Q41" i="1"/>
  <c r="Q45" i="1"/>
  <c r="Q44" i="1"/>
  <c r="Q40" i="1"/>
  <c r="Q39" i="1"/>
  <c r="Q38" i="1"/>
  <c r="Q37" i="1"/>
  <c r="Q36" i="1"/>
  <c r="Q35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1" i="1"/>
  <c r="Q12" i="1"/>
  <c r="Q10" i="1" l="1"/>
  <c r="Q64" i="1" s="1"/>
  <c r="Q65" i="1" s="1"/>
  <c r="M10" i="1"/>
</calcChain>
</file>

<file path=xl/sharedStrings.xml><?xml version="1.0" encoding="utf-8"?>
<sst xmlns="http://schemas.openxmlformats.org/spreadsheetml/2006/main" count="1717" uniqueCount="342">
  <si>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</si>
  <si>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</si>
  <si>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</si>
  <si>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</si>
  <si>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</si>
  <si>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</si>
  <si>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</si>
  <si>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</si>
  <si>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</si>
  <si>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</si>
  <si>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</si>
  <si>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</si>
  <si>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Ferrite Bead</t>
  </si>
  <si>
    <t>USB Connector</t>
  </si>
  <si>
    <t>JST Connector</t>
  </si>
  <si>
    <t>Connector</t>
  </si>
  <si>
    <t>Header</t>
  </si>
  <si>
    <t>Inductor</t>
  </si>
  <si>
    <t>LED</t>
  </si>
  <si>
    <t>RGB LED</t>
  </si>
  <si>
    <t>TEST POINT</t>
  </si>
  <si>
    <t>Mosfet</t>
  </si>
  <si>
    <t>Resistor</t>
  </si>
  <si>
    <t>Solder Bridge</t>
  </si>
  <si>
    <t>Switch</t>
  </si>
  <si>
    <t>IC</t>
  </si>
  <si>
    <t>Module</t>
  </si>
  <si>
    <t>Designator</t>
  </si>
  <si>
    <t>D2</t>
  </si>
  <si>
    <t>F1</t>
  </si>
  <si>
    <t>J1</t>
  </si>
  <si>
    <t>J2</t>
  </si>
  <si>
    <t>J3</t>
  </si>
  <si>
    <t>L1</t>
  </si>
  <si>
    <t>LED1</t>
  </si>
  <si>
    <t>LED2</t>
  </si>
  <si>
    <t>U1</t>
  </si>
  <si>
    <t>U2</t>
  </si>
  <si>
    <t>U3</t>
  </si>
  <si>
    <t>U4</t>
  </si>
  <si>
    <t>U7</t>
  </si>
  <si>
    <t>U8</t>
  </si>
  <si>
    <t>Description</t>
  </si>
  <si>
    <t>CAP CER 10000PF 50V C0G/NPO 0603</t>
  </si>
  <si>
    <t>CAP CER 22UF 10V X5R 0603</t>
  </si>
  <si>
    <t>CAP CER 1UF 25V X5R 0603</t>
  </si>
  <si>
    <t>CAP CER 10UF 25V X5R 0805</t>
  </si>
  <si>
    <t>CAP CER 0.1UF 25V X5R 0402</t>
  </si>
  <si>
    <t>DIODE ZENER 3.3V 200MW SOD323F</t>
  </si>
  <si>
    <t>250mA 1 16 Female Type-C SMD USB Connectors ROHS</t>
  </si>
  <si>
    <t>Conn Shrouded Header (4 Sides) HDR 2 POS 2.5mm Solder ST Thru-Hole Box</t>
  </si>
  <si>
    <t>1x6P SH 1 1mm 6 SMD,P=1mm Wire To Board / Wire To Wire Connector ROHS</t>
  </si>
  <si>
    <t>CONN HEADER VERT 2POS 2.54MM</t>
  </si>
  <si>
    <t>Emerald 0603 Light Emitting Diodes (LED) ROHS</t>
  </si>
  <si>
    <t>0603 Light Emitting Diodes (LED) ROHS</t>
  </si>
  <si>
    <t>Test Point ON</t>
  </si>
  <si>
    <t>30V 4.1A 60mΩ@10V,4.1A 350mW 3V@250uA P Channel SOT-23 MOSFETs ROHS</t>
  </si>
  <si>
    <t>40V 100mW 100@10mA,1V 200mA 300MHz 300mV@50mA,5mA NPN -55℃~+150℃@(Tj) SOT-723 Bipolar Transistors - BJT ROHS</t>
  </si>
  <si>
    <t>RES SMD 1K OHM 1% 1/10W 0603</t>
  </si>
  <si>
    <t>RES SMD 10K Ohm 1% 1/10W 0603</t>
  </si>
  <si>
    <t>RES SMD 4.7K OHM 5% 1/10W 0603</t>
  </si>
  <si>
    <t>RES 5.1K OHM 1% 1/10W 0603</t>
  </si>
  <si>
    <t>Solder Bridge ON</t>
  </si>
  <si>
    <t>No NO 50mA 4.5mm 100000 260gf 12V -30℃~+85℃ 4.5mm 4.3mm Black Round Button Brick nogging SPST SMD Tactile Switches ROHS</t>
  </si>
  <si>
    <t>No NO 50mA 4.5mm 100000 160gf 12V -30℃~+85℃ 4.5mm 8mm Black Round Button Brick nogging SPST SMD Tactile Switches ROHS</t>
  </si>
  <si>
    <t>SMD,18x25.5mm WiFi Modules ROHS</t>
  </si>
  <si>
    <t>Footprint</t>
  </si>
  <si>
    <t>Cap-0603</t>
  </si>
  <si>
    <t>Cap-0805</t>
  </si>
  <si>
    <t>Cap-0402</t>
  </si>
  <si>
    <t>SOD323F</t>
  </si>
  <si>
    <t>HDR1X2_</t>
  </si>
  <si>
    <t>LED-0603</t>
  </si>
  <si>
    <t>SOT-23</t>
  </si>
  <si>
    <t>SOT-723</t>
  </si>
  <si>
    <t>Res-0603</t>
  </si>
  <si>
    <t>Solder Bridge 0402</t>
  </si>
  <si>
    <t>TS-1109S-C-B</t>
  </si>
  <si>
    <t>SOT-23-5</t>
  </si>
  <si>
    <t>38-SMD Module</t>
  </si>
  <si>
    <t>Manufacturer Part Number</t>
  </si>
  <si>
    <t>CC0603JRNPO9BN103</t>
  </si>
  <si>
    <t>CC0603MRX5R6BB226</t>
  </si>
  <si>
    <t>CC0603KRX5R8BB105</t>
  </si>
  <si>
    <t>CC0805KKX5R8BB106</t>
  </si>
  <si>
    <t>CC0402KRX5R8BB104</t>
  </si>
  <si>
    <t>MM3Z3V3B</t>
  </si>
  <si>
    <t>TYPE-C-31-M-12</t>
  </si>
  <si>
    <t>B2B-XH-A(LF)(SN)</t>
  </si>
  <si>
    <t>C145963</t>
  </si>
  <si>
    <t>NCD0603G2</t>
  </si>
  <si>
    <t>NCD0603R3</t>
  </si>
  <si>
    <t>AO3407</t>
  </si>
  <si>
    <t>MMBT3904M</t>
  </si>
  <si>
    <t>RC0603FR-071KL</t>
  </si>
  <si>
    <t>RC0603FR-0710KL</t>
  </si>
  <si>
    <t>RC0603JR-074K7L</t>
  </si>
  <si>
    <t>RC0603FR-075K1L</t>
  </si>
  <si>
    <t>TS-1109S-B-J</t>
  </si>
  <si>
    <t>ESP32-WROOM-32E-N8</t>
  </si>
  <si>
    <t>Manufacturer</t>
  </si>
  <si>
    <t>Yageo</t>
  </si>
  <si>
    <t>Murata</t>
  </si>
  <si>
    <t>ON Semiconductor / Fairchild</t>
  </si>
  <si>
    <t>Nexperia</t>
  </si>
  <si>
    <t>BHFUSE</t>
  </si>
  <si>
    <t>Korean Hroparts Elec</t>
  </si>
  <si>
    <t>JST</t>
  </si>
  <si>
    <t>BOOMELE</t>
  </si>
  <si>
    <t>Wurth Electronics</t>
  </si>
  <si>
    <t>Foshan NationStar Optoelectronics</t>
  </si>
  <si>
    <t>Guangdong Hottech</t>
  </si>
  <si>
    <t>TECH PUBLIC</t>
  </si>
  <si>
    <t>XKB Connectivity</t>
  </si>
  <si>
    <t>Rohm</t>
  </si>
  <si>
    <t>Texas Instruments</t>
  </si>
  <si>
    <t>Espressif Systems</t>
  </si>
  <si>
    <t>LCSC Part Number</t>
  </si>
  <si>
    <t>C389113</t>
  </si>
  <si>
    <t>C109447</t>
  </si>
  <si>
    <t>C14664</t>
  </si>
  <si>
    <t>C89831</t>
  </si>
  <si>
    <t>C106256</t>
  </si>
  <si>
    <t>C2978865</t>
  </si>
  <si>
    <t>C165948</t>
  </si>
  <si>
    <t>C158012</t>
  </si>
  <si>
    <t>C87326</t>
  </si>
  <si>
    <t>C3151730</t>
  </si>
  <si>
    <t>C181093</t>
  </si>
  <si>
    <t>C2923360</t>
  </si>
  <si>
    <t>C22548</t>
  </si>
  <si>
    <t>C98220</t>
  </si>
  <si>
    <t>C105428</t>
  </si>
  <si>
    <t>C105580</t>
  </si>
  <si>
    <t>C381037</t>
  </si>
  <si>
    <t>C480323</t>
  </si>
  <si>
    <t>C701342</t>
  </si>
  <si>
    <t>10nF</t>
  </si>
  <si>
    <t>22uF</t>
  </si>
  <si>
    <t>1uF</t>
  </si>
  <si>
    <t>100nF</t>
  </si>
  <si>
    <t>10uF</t>
  </si>
  <si>
    <t>1K</t>
  </si>
  <si>
    <t>10K</t>
  </si>
  <si>
    <t>0R</t>
  </si>
  <si>
    <t>47K</t>
  </si>
  <si>
    <t>4.7K</t>
  </si>
  <si>
    <t>5.1K</t>
  </si>
  <si>
    <t>Quantity</t>
  </si>
  <si>
    <t>Alternate Part Number</t>
  </si>
  <si>
    <t>Quantity (5 Boards)</t>
  </si>
  <si>
    <t>MOQ (5 Boards)</t>
  </si>
  <si>
    <t>Links</t>
  </si>
  <si>
    <t>Total Cost (5 Boards)</t>
  </si>
  <si>
    <t>Remarks</t>
  </si>
  <si>
    <t>Reviewer Remarks</t>
  </si>
  <si>
    <t>-</t>
  </si>
  <si>
    <t>Value</t>
  </si>
  <si>
    <t>Custom</t>
  </si>
  <si>
    <t>Bill of Materials for Project [IoT-Speaker]</t>
  </si>
  <si>
    <t>IoT-Speaker</t>
  </si>
  <si>
    <t>LCSC</t>
  </si>
  <si>
    <t>DO NOT PLACE</t>
  </si>
  <si>
    <t>Quantity (2 Boards)</t>
  </si>
  <si>
    <t>MOQ (2 Boards)</t>
  </si>
  <si>
    <t>Unit Cost (2 Boards)</t>
  </si>
  <si>
    <t>C10, C11</t>
  </si>
  <si>
    <t>SPX3819 Series 3.3 V 500 mA Fixed Output SMT LDO Regulator - SOT-23-5</t>
  </si>
  <si>
    <t>SPX3819M5-L-3-3/TR</t>
  </si>
  <si>
    <t>MaxLinear</t>
  </si>
  <si>
    <t>C9055</t>
  </si>
  <si>
    <t>Battery</t>
  </si>
  <si>
    <t>Peripheral</t>
  </si>
  <si>
    <t>Aliexpress</t>
  </si>
  <si>
    <t>U10</t>
  </si>
  <si>
    <t>C14, C74, C75, C81, C102</t>
  </si>
  <si>
    <t>TDK</t>
  </si>
  <si>
    <t>CAP CER 220PF 50V C0G/NPO 0402</t>
  </si>
  <si>
    <t>CC0402JRNPO9BN221</t>
  </si>
  <si>
    <t>C107001</t>
  </si>
  <si>
    <t>220pF</t>
  </si>
  <si>
    <t>C84</t>
  </si>
  <si>
    <t>CAP CER 1000PF 25V C0G/NPO 0603</t>
  </si>
  <si>
    <t>CAP-0603</t>
  </si>
  <si>
    <t>CC0603JRNPO8BN102</t>
  </si>
  <si>
    <t>C309470</t>
  </si>
  <si>
    <t>1nF</t>
  </si>
  <si>
    <t>D1</t>
  </si>
  <si>
    <t>TVS DIODE 5VWM 6.3VC DSN0603-2</t>
  </si>
  <si>
    <t>DSN0603-2</t>
  </si>
  <si>
    <t>PESD5V0H1BSFYL</t>
  </si>
  <si>
    <t>C477989</t>
  </si>
  <si>
    <t>Total Cost (2 Boards)</t>
  </si>
  <si>
    <t>6V 2A 50A 1W -40℃~+85℃ 4A 4mΩ 5s 45mΩ 0805 Resettable Fuses ROHS</t>
  </si>
  <si>
    <t>Fuse-0805</t>
  </si>
  <si>
    <t>BSMD0805L-200</t>
  </si>
  <si>
    <t>C2757931</t>
  </si>
  <si>
    <t>FB7</t>
  </si>
  <si>
    <t>FERRITE BEAD 120 OHM 1206 1LN</t>
  </si>
  <si>
    <t>IND-1206</t>
  </si>
  <si>
    <t>BLM31PG121SN1L</t>
  </si>
  <si>
    <t>C85841</t>
  </si>
  <si>
    <t>100MHz</t>
  </si>
  <si>
    <t>J9</t>
  </si>
  <si>
    <t>5.15A 1uH ±30% SMD Power Inductors ROHS</t>
  </si>
  <si>
    <t>MPIT6045-1R0N-LF</t>
  </si>
  <si>
    <t>microgate</t>
  </si>
  <si>
    <t>C486570</t>
  </si>
  <si>
    <t>1uH</t>
  </si>
  <si>
    <t>L2, L3</t>
  </si>
  <si>
    <t>FIXED IND 33UH 500MA 275MOHM SMD</t>
  </si>
  <si>
    <t>VLCF5024T-330MR50-2</t>
  </si>
  <si>
    <t>C2046704</t>
  </si>
  <si>
    <t>33uH</t>
  </si>
  <si>
    <t>LED3, LED4, LED5</t>
  </si>
  <si>
    <t>SMD5050 Light Emitting Diodes (LED) ROHS</t>
  </si>
  <si>
    <t>WS2812B-XF02/W</t>
  </si>
  <si>
    <t>Worldsemi</t>
  </si>
  <si>
    <t>C4154882</t>
  </si>
  <si>
    <t>P2, P3, P4, P5</t>
  </si>
  <si>
    <t>Q1, Q4</t>
  </si>
  <si>
    <t>Q2, Q3, Q5</t>
  </si>
  <si>
    <t>R1, R2</t>
  </si>
  <si>
    <t>R3</t>
  </si>
  <si>
    <t>RES SMD 220 OHM 1% 1/10W 0603</t>
  </si>
  <si>
    <t>RC0603FR-07220RL</t>
  </si>
  <si>
    <t>C107696</t>
  </si>
  <si>
    <t>220R</t>
  </si>
  <si>
    <t>R4</t>
  </si>
  <si>
    <t>RES  SMD 330R 100 mW 0603</t>
  </si>
  <si>
    <t>RC0603JR-07330RL</t>
  </si>
  <si>
    <t>C105879</t>
  </si>
  <si>
    <t>330R</t>
  </si>
  <si>
    <t>R6, R10, R15, R18, R19, R20, R21, R22</t>
  </si>
  <si>
    <t>R5</t>
  </si>
  <si>
    <t>Thick Film Resistors 75V 1.2kΩ 0603 Chip Resistor - Surface Mount ROHS</t>
  </si>
  <si>
    <t>0603WAF1201T5E</t>
  </si>
  <si>
    <t>UNI-ROYAL</t>
  </si>
  <si>
    <t>C22765</t>
  </si>
  <si>
    <t>1.2K</t>
  </si>
  <si>
    <t>R7</t>
  </si>
  <si>
    <t>±1% 732kΩ 0402 Chip Resistor - Surface Mount ROHS</t>
  </si>
  <si>
    <t>Res-0402</t>
  </si>
  <si>
    <t>FRC0402F7323TS</t>
  </si>
  <si>
    <t>FOJAN</t>
  </si>
  <si>
    <t>C5159692</t>
  </si>
  <si>
    <t>732K</t>
  </si>
  <si>
    <t>100K</t>
  </si>
  <si>
    <t>R11, R56</t>
  </si>
  <si>
    <t>R13, R14</t>
  </si>
  <si>
    <t>RES SMD 0R, 1%, 0.1W, 0603</t>
  </si>
  <si>
    <t>RC0603FR-070RL</t>
  </si>
  <si>
    <t>C100044</t>
  </si>
  <si>
    <t>R65</t>
  </si>
  <si>
    <t>RES SMD 1M OHM 1% 1/10W 0603</t>
  </si>
  <si>
    <t>RC0603FR-071ML</t>
  </si>
  <si>
    <t>C105578</t>
  </si>
  <si>
    <t>1M</t>
  </si>
  <si>
    <t>RES SMD 100K OHM 0.1% 1/10W 0603</t>
  </si>
  <si>
    <t>RT0603BRD07100KL</t>
  </si>
  <si>
    <t>C122538</t>
  </si>
  <si>
    <t>SW1</t>
  </si>
  <si>
    <t>SB1, SB2, SB3, SB4, SB5, SB6, SB7, SB8, SB12, SB13</t>
  </si>
  <si>
    <t>ESOP-8 Battery Management ICs ROHS</t>
  </si>
  <si>
    <t>ESOP-8</t>
  </si>
  <si>
    <t>TP4056-42-ESOP8</t>
  </si>
  <si>
    <t>TOPPOWER</t>
  </si>
  <si>
    <t>C16581</t>
  </si>
  <si>
    <t>OR Controller N+1 ORing Controller N-Channel 2:1 SOT-583</t>
  </si>
  <si>
    <t>SOT-583</t>
  </si>
  <si>
    <t>LM66200DRLR</t>
  </si>
  <si>
    <t>C3235556</t>
  </si>
  <si>
    <t>8-A boost converter with 0.5-V ultra-low input voltage 7-VQFN-HR -40 to 125</t>
  </si>
  <si>
    <t>7-VQFN-HR (2x2)</t>
  </si>
  <si>
    <t>TPS61022RWUR</t>
  </si>
  <si>
    <t>C915088</t>
  </si>
  <si>
    <t>IC CNTRLR ON/OFF W/DEB TSOT23-6</t>
  </si>
  <si>
    <t>TSOT-23-6</t>
  </si>
  <si>
    <t>MAX16054AZT+T</t>
  </si>
  <si>
    <t>Maxim</t>
  </si>
  <si>
    <t>C79401</t>
  </si>
  <si>
    <t>Power Supply Support Circuit, Fixed, 1 Channel, +3.1V, CMOS, PDSO5</t>
  </si>
  <si>
    <t>SSOP-5-1.6mm</t>
  </si>
  <si>
    <t>BU4231G-TR</t>
  </si>
  <si>
    <t>C253184</t>
  </si>
  <si>
    <t>U16</t>
  </si>
  <si>
    <t>Audio Amplifier, 1 Func, PQCC16</t>
  </si>
  <si>
    <t>TQFN-16-EP(3x3)</t>
  </si>
  <si>
    <t>MAX98357AETE+T</t>
  </si>
  <si>
    <t>C910544</t>
  </si>
  <si>
    <t>RES 47K OHM 5% 1/10W 0603</t>
  </si>
  <si>
    <t>RC0603JR-0747KL</t>
  </si>
  <si>
    <t>C127447</t>
  </si>
  <si>
    <t>R9, R12, R54</t>
  </si>
  <si>
    <t>R8, R66, R67</t>
  </si>
  <si>
    <t>C2, C3, C7, C8, C9, C15, C17, C18, C19, C20, C21, C22, C24, C78, C83</t>
  </si>
  <si>
    <t>C4, C12, C76, C82</t>
  </si>
  <si>
    <t>C23, C25, C26, C77</t>
  </si>
  <si>
    <t>C1, C5, C6, C13, C16, C103</t>
  </si>
  <si>
    <t>B-2100S02P-A110</t>
  </si>
  <si>
    <t>C124375</t>
  </si>
  <si>
    <t>SW4, SW5, SW6, SW8</t>
  </si>
  <si>
    <t>Tactile Switch</t>
  </si>
  <si>
    <t>SW7</t>
  </si>
  <si>
    <t>Unit Cost (5 Boards)</t>
  </si>
  <si>
    <t>Quantity (50 Boards)</t>
  </si>
  <si>
    <t>MOQ (50 Boards)</t>
  </si>
  <si>
    <t>Unit Cost (50 Boards)</t>
  </si>
  <si>
    <t>Total Cost (50 Boards)</t>
  </si>
  <si>
    <t>Speaker</t>
  </si>
  <si>
    <t>FS40DS0430-H18.8</t>
  </si>
  <si>
    <t>FB1, FB2, FB3</t>
  </si>
  <si>
    <t>Q6</t>
  </si>
  <si>
    <t>R16, R17, R28, R55</t>
  </si>
  <si>
    <t>R23, R24, R25, R33</t>
  </si>
  <si>
    <t>R26, R27</t>
  </si>
  <si>
    <t>BLM18PG300SN1D</t>
  </si>
  <si>
    <t>SI2302CDS</t>
  </si>
  <si>
    <t>ERA-2AEB680X</t>
  </si>
  <si>
    <t>RC0402FR-0710KL</t>
  </si>
  <si>
    <t>TL1260GQRBLK</t>
  </si>
  <si>
    <t xml:space="preserve">IND-0603 </t>
  </si>
  <si>
    <t>FERRITE BEAD 30 OHM 0603 1LN</t>
  </si>
  <si>
    <t>C17305</t>
  </si>
  <si>
    <t>N-CHANNEL 20-V (D-S) MOSFET</t>
  </si>
  <si>
    <t>Sot-23</t>
  </si>
  <si>
    <t>C5310968</t>
  </si>
  <si>
    <t>RES SMD 68 OHM 0.1% 1/16W 0402</t>
  </si>
  <si>
    <t>Panasonic</t>
  </si>
  <si>
    <t>RES 10K OHM 1% 1/16W 0402</t>
  </si>
  <si>
    <t>68R</t>
  </si>
  <si>
    <t>C60490</t>
  </si>
  <si>
    <t>SWITCH TACTILE SPST-NO 0.05A 12V</t>
  </si>
  <si>
    <t>E-Switch</t>
  </si>
  <si>
    <t>104079 3.7V 4000mAh Polymer Lithium Li-po Rechargeable Battery JST XHR 2.54mm 2pin For GPS DVD PAD tablet pc laptop power bank</t>
  </si>
  <si>
    <t>Adaptor</t>
  </si>
  <si>
    <t>RT0402BRD0768RL</t>
  </si>
  <si>
    <t>C852891</t>
  </si>
  <si>
    <t>Universal 5V 1A 2A Type C USB Charger Mobile Phone Wall Travel Power Adapter Charger EU/US Plug For Huawei Xiaomi iPhone Samsung (2A Rating Selected)</t>
  </si>
  <si>
    <t>Speakers ROHS</t>
  </si>
  <si>
    <t>C969979</t>
  </si>
  <si>
    <t>Chipmall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</si>
</sst>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9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2" fillId="2" borderId="17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 vertical="center" wrapText="1"/>
    </xf>
    <xf numFmtId="0" fontId="23" fillId="2" borderId="16" xfId="1" applyFill="1" applyBorder="1" applyAlignment="1">
      <alignment horizontal="center" vertical="center" wrapText="1"/>
    </xf>
    <xf numFmtId="0" fontId="23" fillId="2" borderId="17" xfId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6" fillId="0" borderId="0" xfId="0" applyFont="1"/>
    <xf numFmtId="0" fontId="0" fillId="5" borderId="0" xfId="0" applyFill="1"/>
    <xf numFmtId="0" fontId="19" fillId="2" borderId="1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0" fillId="0" borderId="22" xfId="0" applyBorder="1" applyAlignment="1">
      <alignment wrapText="1"/>
    </xf>
    <xf numFmtId="166" fontId="19" fillId="2" borderId="23" xfId="0" applyNumberFormat="1" applyFont="1" applyFill="1" applyBorder="1" applyAlignment="1">
      <alignment horizontal="center" vertical="center" wrapText="1"/>
    </xf>
    <xf numFmtId="166" fontId="19" fillId="2" borderId="16" xfId="0" applyNumberFormat="1" applyFont="1" applyFill="1" applyBorder="1" applyAlignment="1">
      <alignment horizontal="center" vertical="center" wrapText="1"/>
    </xf>
    <xf numFmtId="166" fontId="18" fillId="2" borderId="16" xfId="0" applyNumberFormat="1" applyFont="1" applyFill="1" applyBorder="1" applyAlignment="1">
      <alignment horizontal="center" vertical="center" wrapText="1"/>
    </xf>
    <xf numFmtId="166" fontId="18" fillId="2" borderId="17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17407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740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C0603FR-0710KL_C98220.html" TargetMode="External"/><Relationship Id="rId18" Type="http://schemas.openxmlformats.org/officeDocument/2006/relationships/hyperlink" Target="https://www.lcsc.com/product-detail/WiFi-Modules_Espressif-Systems-ESP32-WROOM-32E-N8_C701342.html" TargetMode="External"/><Relationship Id="rId26" Type="http://schemas.openxmlformats.org/officeDocument/2006/relationships/hyperlink" Target="https://www.lcsc.com/product-detail/Light-Emitting-Diodes-LED_Worldsemi-WS2812B-XF02-W_C4154882.html" TargetMode="External"/><Relationship Id="rId39" Type="http://schemas.openxmlformats.org/officeDocument/2006/relationships/hyperlink" Target="https://www.lcsc.com/product-detail/Linear-Voltage-Regulators-LDO_MaxLinear-SPX3819M5-L-3-3-TR_C9055.html" TargetMode="External"/><Relationship Id="rId21" Type="http://schemas.openxmlformats.org/officeDocument/2006/relationships/hyperlink" Target="https://www.lcsc.com/product-detail/ESD-Protection-Devices_Nexperia-PESD5V0H1BSF_C477989.html" TargetMode="External"/><Relationship Id="rId34" Type="http://schemas.openxmlformats.org/officeDocument/2006/relationships/hyperlink" Target="https://www.lcsc.com/product-detail/Chip-Resistor-Surface-Mount_YAGEO-RC0603FR-071ML_C105578.html" TargetMode="External"/><Relationship Id="rId42" Type="http://schemas.openxmlformats.org/officeDocument/2006/relationships/hyperlink" Target="https://www.lcsc.com/product-detail/Audio-Power-OpAmps_Maxim-Integrated-MAX98357AETE-T_C910544.html" TargetMode="External"/><Relationship Id="rId47" Type="http://schemas.openxmlformats.org/officeDocument/2006/relationships/hyperlink" Target="https://vi.aliexpress.com/item/32948688928.html" TargetMode="External"/><Relationship Id="rId50" Type="http://schemas.openxmlformats.org/officeDocument/2006/relationships/hyperlink" Target="https://www.lcsc.com/product-detail/Speakers_FUET-FS40DS0430-H18-8_C969979.html" TargetMode="External"/><Relationship Id="rId7" Type="http://schemas.openxmlformats.org/officeDocument/2006/relationships/hyperlink" Target="https://www.lcsc.com/product-detail/Wire-To-Board-Wire-To-Wire-Connector_JST-Sales-America-B2B-XH-A-LF-SN_C158012.html" TargetMode="External"/><Relationship Id="rId2" Type="http://schemas.openxmlformats.org/officeDocument/2006/relationships/hyperlink" Target="https://www.lcsc.com/product-detail/Multilayer-Ceramic-Capacitors-MLCC-SMD-SMT_YAGEO-CC0603MRX5R6BB226_C109447.html" TargetMode="External"/><Relationship Id="rId16" Type="http://schemas.openxmlformats.org/officeDocument/2006/relationships/hyperlink" Target="https://www.lcsc.com/product-detail/Tactile-Switches_XKB-Connectivity-TS-1109S-C-B_C381037.html" TargetMode="External"/><Relationship Id="rId29" Type="http://schemas.openxmlformats.org/officeDocument/2006/relationships/hyperlink" Target="https://www.lcsc.com/product-detail/Chip-Resistor-Surface-Mount_UNI-ROYAL-Uniroyal-Elec-0603WAF1201T5E_C22765.html" TargetMode="External"/><Relationship Id="rId11" Type="http://schemas.openxmlformats.org/officeDocument/2006/relationships/hyperlink" Target="https://www.lcsc.com/product-detail/MOSFETs_Guangdong-Hottech-AO3407_C181093.html" TargetMode="External"/><Relationship Id="rId24" Type="http://schemas.openxmlformats.org/officeDocument/2006/relationships/hyperlink" Target="https://www.lcsc.com/product-detail/Power-Inductors_microgate-MPIT6045-1R0N-LF_C486570.html" TargetMode="External"/><Relationship Id="rId32" Type="http://schemas.openxmlformats.org/officeDocument/2006/relationships/hyperlink" Target="https://www.lcsc.com/product-detail/Chip-Resistor-Surface-Mount_YAGEO-RC0603FR-070RL_C100044.html" TargetMode="External"/><Relationship Id="rId37" Type="http://schemas.openxmlformats.org/officeDocument/2006/relationships/hyperlink" Target="https://www.lcsc.com/product-detail/Power-Distribution-Switches_Texas-Instruments-LM66200DRLR_C3235556.html" TargetMode="External"/><Relationship Id="rId40" Type="http://schemas.openxmlformats.org/officeDocument/2006/relationships/hyperlink" Target="https://www.lcsc.com/product-detail/Interface-Specialized_Maxim-Integrated-MAX16054AZT-T_C79401.html" TargetMode="External"/><Relationship Id="rId45" Type="http://schemas.openxmlformats.org/officeDocument/2006/relationships/hyperlink" Target="https://www.lcsc.com/product-detail/MOSFETs_TECH-PUBLIC-SI2302CDS_C5310968.html" TargetMode="External"/><Relationship Id="rId53" Type="http://schemas.openxmlformats.org/officeDocument/2006/relationships/drawing" Target="../drawings/drawing1.xml"/><Relationship Id="rId5" Type="http://schemas.openxmlformats.org/officeDocument/2006/relationships/hyperlink" Target="https://www.lcsc.com/product-detail/Zener-Diodes_EIC-Semicon-MM3Z3V3B_C2978865.html" TargetMode="External"/><Relationship Id="rId10" Type="http://schemas.openxmlformats.org/officeDocument/2006/relationships/hyperlink" Target="https://www.lcsc.com/product-detail/Light-Emitting-Diodes-LED_Foshan-NationStar-Optoelectronics-NCD0603R3_C3151730.html" TargetMode="External"/><Relationship Id="rId19" Type="http://schemas.openxmlformats.org/officeDocument/2006/relationships/hyperlink" Target="https://www.lcsc.com/product-detail/Multilayer-Ceramic-Capacitors-MLCC-SMD-SMT_YAGEO-CC0603KRX5R8BB105_C14664.html" TargetMode="External"/><Relationship Id="rId31" Type="http://schemas.openxmlformats.org/officeDocument/2006/relationships/hyperlink" Target="https://www.lcsc.com/product-detail/Chip-Resistor-Surface-Mount_YAGEO-RC0603JR-0747KL_C127447.html" TargetMode="External"/><Relationship Id="rId44" Type="http://schemas.openxmlformats.org/officeDocument/2006/relationships/hyperlink" Target="https://www.lcsc.com/product-detail/Ferrite-Beads_Murata-Electronics-BLM18PG300SN1D_C17305.html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Multilayer-Ceramic-Capacitors-MLCC-SMD-SMT_YAGEO-CC0402KRX5R8BB104_C106256.html" TargetMode="External"/><Relationship Id="rId9" Type="http://schemas.openxmlformats.org/officeDocument/2006/relationships/hyperlink" Target="https://www.lcsc.com/product-detail/Light-Emitting-Diodes-LED_Foshan-NationStar-Optoelectronics-NCD0603G2_C87326.html" TargetMode="External"/><Relationship Id="rId14" Type="http://schemas.openxmlformats.org/officeDocument/2006/relationships/hyperlink" Target="https://www.lcsc.com/product-detail/Chip-Resistor-Surface-Mount_YAGEO-RC0603JR-074K7L_C105428.html" TargetMode="External"/><Relationship Id="rId22" Type="http://schemas.openxmlformats.org/officeDocument/2006/relationships/hyperlink" Target="https://www.lcsc.com/product-detail/Resettable-Fuses_BHFUSE-BSMD0805L-200_C2757931.html" TargetMode="External"/><Relationship Id="rId27" Type="http://schemas.openxmlformats.org/officeDocument/2006/relationships/hyperlink" Target="https://www.lcsc.com/product-detail/Chip-Resistor-Surface-Mount_YAGEO-RC0603FR-07220RL_C107696.html" TargetMode="External"/><Relationship Id="rId30" Type="http://schemas.openxmlformats.org/officeDocument/2006/relationships/hyperlink" Target="https://www.lcsc.com/product-detail/Chip-Resistor-Surface-Mount_FOJAN-FRC0402F7323TS_C5159692.html" TargetMode="External"/><Relationship Id="rId35" Type="http://schemas.openxmlformats.org/officeDocument/2006/relationships/hyperlink" Target="https://www.lcsc.com/product-detail/Chip-Resistor-Surface-Mount_YAGEO-RT0603BRD07100KL_C122538.html" TargetMode="External"/><Relationship Id="rId43" Type="http://schemas.openxmlformats.org/officeDocument/2006/relationships/hyperlink" Target="https://www.lcsc.com/product-detail/span-style-background-color-ff0-Pin-span-Headers_Ckmtw-Shenzhen-Cankemeng-B-2100S02P-A110_C124375.html" TargetMode="External"/><Relationship Id="rId48" Type="http://schemas.openxmlformats.org/officeDocument/2006/relationships/hyperlink" Target="https://vi.aliexpress.com/item/1005005257036835.html" TargetMode="External"/><Relationship Id="rId8" Type="http://schemas.openxmlformats.org/officeDocument/2006/relationships/hyperlink" Target="https://www.lcsc.com/product-detail/Wire-To-Board-Wire-To-Wire-Connector_BOOMELE-Boom-Precision-Elec-C145963_C145963.html" TargetMode="External"/><Relationship Id="rId51" Type="http://schemas.openxmlformats.org/officeDocument/2006/relationships/hyperlink" Target="https://www.chipsmall.com/Products/TL1260GQRBLK_17235276.html" TargetMode="External"/><Relationship Id="rId3" Type="http://schemas.openxmlformats.org/officeDocument/2006/relationships/hyperlink" Target="https://www.lcsc.com/product-detail/Multilayer-Ceramic-Capacitors-MLCC-SMD-SMT_YAGEO-CC0805KKX5R8BB106_C89831.html" TargetMode="External"/><Relationship Id="rId12" Type="http://schemas.openxmlformats.org/officeDocument/2006/relationships/hyperlink" Target="https://www.lcsc.com/product-detail/Bipolar-Transistors-BJT_TECH-PUBLIC-MMBT3904M_C2923360.html" TargetMode="External"/><Relationship Id="rId17" Type="http://schemas.openxmlformats.org/officeDocument/2006/relationships/hyperlink" Target="https://www.lcsc.com/product-detail/Tactile-Switches_XKB-Connectivity-TS-1109S-B-J_C480323.html" TargetMode="External"/><Relationship Id="rId25" Type="http://schemas.openxmlformats.org/officeDocument/2006/relationships/hyperlink" Target="https://www.lcsc.com/product-detail/Inductors-SMD_TDK-VLCF5024T-330MR50-2_C2046704.html" TargetMode="External"/><Relationship Id="rId33" Type="http://schemas.openxmlformats.org/officeDocument/2006/relationships/hyperlink" Target="https://www.lcsc.com/product-detail/Chip-Resistor-Surface-Mount_YAGEO-RC0603FR-071KL_C22548.html" TargetMode="External"/><Relationship Id="rId38" Type="http://schemas.openxmlformats.org/officeDocument/2006/relationships/hyperlink" Target="https://www.lcsc.com/product-detail/DC-DC-Converters_Texas-Instruments-TPS61022RWUR_C915088.html" TargetMode="External"/><Relationship Id="rId46" Type="http://schemas.openxmlformats.org/officeDocument/2006/relationships/hyperlink" Target="https://www.lcsc.com/product-detail/Chip-Resistor-Surface-Mount_YAGEO-RC0402FR-0710KL_C60490.html" TargetMode="External"/><Relationship Id="rId20" Type="http://schemas.openxmlformats.org/officeDocument/2006/relationships/hyperlink" Target="https://www.lcsc.com/product-detail/Multilayer-Ceramic-Capacitors-MLCC-SMD-SMT_YAGEO-CC0603JRNPO8BN102_C309470.html" TargetMode="External"/><Relationship Id="rId41" Type="http://schemas.openxmlformats.org/officeDocument/2006/relationships/hyperlink" Target="https://www.lcsc.com/product-detail/Monitors-Reset-Circuits_ROHM-Semicon-BU4231G-TR_C253184.html" TargetMode="External"/><Relationship Id="rId1" Type="http://schemas.openxmlformats.org/officeDocument/2006/relationships/hyperlink" Target="https://www.lcsc.com/product-detail/Multilayer-Ceramic-Capacitors-MLCC-SMD-SMT_YAGEO-CC0603JRNPO9BN103_C389113.html" TargetMode="External"/><Relationship Id="rId6" Type="http://schemas.openxmlformats.org/officeDocument/2006/relationships/hyperlink" Target="https://www.lcsc.com/product-detail/USB-Connectors_Korean-Hroparts-Elec-TYPE-C-31-M-12_C165948.html" TargetMode="External"/><Relationship Id="rId15" Type="http://schemas.openxmlformats.org/officeDocument/2006/relationships/hyperlink" Target="https://www.lcsc.com/product-detail/Chip-Resistor-Surface-Mount_YAGEO-RC0603FR-075K1L_C105580.html" TargetMode="External"/><Relationship Id="rId23" Type="http://schemas.openxmlformats.org/officeDocument/2006/relationships/hyperlink" Target="https://www.lcsc.com/product-detail/Ferrite-Beads_Murata-Electronics-BLM31PG121SN1L_C85841.html" TargetMode="External"/><Relationship Id="rId28" Type="http://schemas.openxmlformats.org/officeDocument/2006/relationships/hyperlink" Target="https://www.lcsc.com/product-detail/Chip-Resistor-Surface-Mount_YAGEO-RC0603JR-07330RL_C105879.html" TargetMode="External"/><Relationship Id="rId36" Type="http://schemas.openxmlformats.org/officeDocument/2006/relationships/hyperlink" Target="https://www.lcsc.com/product-detail/Battery-Management-ICs_TOPPOWER-Nanjing-Extension-Microelectronics-TP4056-42-ESOP8_C16581.html" TargetMode="External"/><Relationship Id="rId49" Type="http://schemas.openxmlformats.org/officeDocument/2006/relationships/hyperlink" Target="https://www.lcsc.com/product-detail/Chip-span-style-background-color-ff0-Resistor-span-Surface-Mount_YAGEO-RT0402BRD0768RL_C852891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C0603FR-0710KL_C98220.html" TargetMode="External"/><Relationship Id="rId18" Type="http://schemas.openxmlformats.org/officeDocument/2006/relationships/hyperlink" Target="https://www.lcsc.com/product-detail/WiFi-Modules_Espressif-Systems-ESP32-WROOM-32E-N8_C701342.html" TargetMode="External"/><Relationship Id="rId26" Type="http://schemas.openxmlformats.org/officeDocument/2006/relationships/hyperlink" Target="https://www.lcsc.com/product-detail/Light-Emitting-Diodes-LED_Worldsemi-WS2812B-XF02-W_C4154882.html" TargetMode="External"/><Relationship Id="rId39" Type="http://schemas.openxmlformats.org/officeDocument/2006/relationships/hyperlink" Target="https://www.lcsc.com/product-detail/Linear-Voltage-Regulators-LDO_MaxLinear-SPX3819M5-L-3-3-TR_C9055.html" TargetMode="External"/><Relationship Id="rId21" Type="http://schemas.openxmlformats.org/officeDocument/2006/relationships/hyperlink" Target="https://www.lcsc.com/product-detail/ESD-Protection-Devices_Nexperia-PESD5V0H1BSF_C477989.html" TargetMode="External"/><Relationship Id="rId34" Type="http://schemas.openxmlformats.org/officeDocument/2006/relationships/hyperlink" Target="https://www.lcsc.com/product-detail/Chip-Resistor-Surface-Mount_YAGEO-RC0603FR-071ML_C105578.html" TargetMode="External"/><Relationship Id="rId42" Type="http://schemas.openxmlformats.org/officeDocument/2006/relationships/hyperlink" Target="https://www.lcsc.com/product-detail/Audio-Power-OpAmps_Maxim-Integrated-MAX98357AETE-T_C910544.html" TargetMode="External"/><Relationship Id="rId47" Type="http://schemas.openxmlformats.org/officeDocument/2006/relationships/hyperlink" Target="https://www.lcsc.com/product-detail/Chip-Resistor-Surface-Mount_YAGEO-RC0402FR-0710KL_C60490.html" TargetMode="External"/><Relationship Id="rId50" Type="http://schemas.openxmlformats.org/officeDocument/2006/relationships/hyperlink" Target="https://www.lcsc.com/product-detail/Chip-span-style-background-color-ff0-Resistor-span-Surface-Mount_YAGEO-RT0402BRD0768RL_C852891.html" TargetMode="External"/><Relationship Id="rId7" Type="http://schemas.openxmlformats.org/officeDocument/2006/relationships/hyperlink" Target="https://www.lcsc.com/product-detail/Wire-To-Board-Wire-To-Wire-Connector_JST-Sales-America-B2B-XH-A-LF-SN_C158012.html" TargetMode="External"/><Relationship Id="rId2" Type="http://schemas.openxmlformats.org/officeDocument/2006/relationships/hyperlink" Target="https://www.lcsc.com/product-detail/Multilayer-Ceramic-Capacitors-MLCC-SMD-SMT_YAGEO-CC0603MRX5R6BB226_C109447.html" TargetMode="External"/><Relationship Id="rId16" Type="http://schemas.openxmlformats.org/officeDocument/2006/relationships/hyperlink" Target="https://www.lcsc.com/product-detail/Tactile-Switches_XKB-Connectivity-TS-1109S-C-B_C381037.html" TargetMode="External"/><Relationship Id="rId29" Type="http://schemas.openxmlformats.org/officeDocument/2006/relationships/hyperlink" Target="https://www.lcsc.com/product-detail/Chip-Resistor-Surface-Mount_UNI-ROYAL-Uniroyal-Elec-0603WAF1201T5E_C22765.html" TargetMode="External"/><Relationship Id="rId11" Type="http://schemas.openxmlformats.org/officeDocument/2006/relationships/hyperlink" Target="https://www.lcsc.com/product-detail/MOSFETs_Guangdong-Hottech-AO3407_C181093.html" TargetMode="External"/><Relationship Id="rId24" Type="http://schemas.openxmlformats.org/officeDocument/2006/relationships/hyperlink" Target="https://www.lcsc.com/product-detail/Power-Inductors_microgate-MPIT6045-1R0N-LF_C486570.html" TargetMode="External"/><Relationship Id="rId32" Type="http://schemas.openxmlformats.org/officeDocument/2006/relationships/hyperlink" Target="https://www.lcsc.com/product-detail/Chip-Resistor-Surface-Mount_YAGEO-RC0603FR-070RL_C100044.html" TargetMode="External"/><Relationship Id="rId37" Type="http://schemas.openxmlformats.org/officeDocument/2006/relationships/hyperlink" Target="https://www.lcsc.com/product-detail/Power-Distribution-Switches_Texas-Instruments-LM66200DRLR_C3235556.html" TargetMode="External"/><Relationship Id="rId40" Type="http://schemas.openxmlformats.org/officeDocument/2006/relationships/hyperlink" Target="https://www.lcsc.com/product-detail/Interface-Specialized_Maxim-Integrated-MAX16054AZT-T_C79401.html" TargetMode="External"/><Relationship Id="rId45" Type="http://schemas.openxmlformats.org/officeDocument/2006/relationships/hyperlink" Target="https://www.lcsc.com/product-detail/Ferrite-Beads_Murata-Electronics-BLM18PG300SN1D_C17305.html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https://www.lcsc.com/product-detail/Zener-Diodes_EIC-Semicon-MM3Z3V3B_C2978865.html" TargetMode="External"/><Relationship Id="rId10" Type="http://schemas.openxmlformats.org/officeDocument/2006/relationships/hyperlink" Target="https://www.lcsc.com/product-detail/Light-Emitting-Diodes-LED_Foshan-NationStar-Optoelectronics-NCD0603R3_C3151730.html" TargetMode="External"/><Relationship Id="rId19" Type="http://schemas.openxmlformats.org/officeDocument/2006/relationships/hyperlink" Target="https://www.lcsc.com/product-detail/Multilayer-Ceramic-Capacitors-MLCC-SMD-SMT_YAGEO-CC0603KRX5R8BB105_C14664.html" TargetMode="External"/><Relationship Id="rId31" Type="http://schemas.openxmlformats.org/officeDocument/2006/relationships/hyperlink" Target="https://www.lcsc.com/product-detail/Chip-Resistor-Surface-Mount_YAGEO-RC0603JR-0747KL_C127447.html" TargetMode="External"/><Relationship Id="rId44" Type="http://schemas.openxmlformats.org/officeDocument/2006/relationships/hyperlink" Target="https://www.lcsc.com/product-detail/Multilayer-Ceramic-Capacitors-MLCC-SMD-SMT_YAGEO-CC0402JRNPO9BN221_C107001.html" TargetMode="External"/><Relationship Id="rId52" Type="http://schemas.openxmlformats.org/officeDocument/2006/relationships/hyperlink" Target="https://www.chipsmall.com/Products/TL1260GQRBLK_17235276.html" TargetMode="External"/><Relationship Id="rId4" Type="http://schemas.openxmlformats.org/officeDocument/2006/relationships/hyperlink" Target="https://www.lcsc.com/product-detail/Multilayer-Ceramic-Capacitors-MLCC-SMD-SMT_YAGEO-CC0402KRX5R8BB104_C106256.html" TargetMode="External"/><Relationship Id="rId9" Type="http://schemas.openxmlformats.org/officeDocument/2006/relationships/hyperlink" Target="https://www.lcsc.com/product-detail/Light-Emitting-Diodes-LED_Foshan-NationStar-Optoelectronics-NCD0603G2_C87326.html" TargetMode="External"/><Relationship Id="rId14" Type="http://schemas.openxmlformats.org/officeDocument/2006/relationships/hyperlink" Target="https://www.lcsc.com/product-detail/Chip-Resistor-Surface-Mount_YAGEO-RC0603JR-074K7L_C105428.html" TargetMode="External"/><Relationship Id="rId22" Type="http://schemas.openxmlformats.org/officeDocument/2006/relationships/hyperlink" Target="https://www.lcsc.com/product-detail/Resettable-Fuses_BHFUSE-BSMD0805L-200_C2757931.html" TargetMode="External"/><Relationship Id="rId27" Type="http://schemas.openxmlformats.org/officeDocument/2006/relationships/hyperlink" Target="https://www.lcsc.com/product-detail/Chip-Resistor-Surface-Mount_YAGEO-RC0603FR-07220RL_C107696.html" TargetMode="External"/><Relationship Id="rId30" Type="http://schemas.openxmlformats.org/officeDocument/2006/relationships/hyperlink" Target="https://www.lcsc.com/product-detail/Chip-Resistor-Surface-Mount_FOJAN-FRC0402F7323TS_C5159692.html" TargetMode="External"/><Relationship Id="rId35" Type="http://schemas.openxmlformats.org/officeDocument/2006/relationships/hyperlink" Target="https://www.lcsc.com/product-detail/Chip-Resistor-Surface-Mount_YAGEO-RT0603BRD07100KL_C122538.html" TargetMode="External"/><Relationship Id="rId43" Type="http://schemas.openxmlformats.org/officeDocument/2006/relationships/hyperlink" Target="https://www.lcsc.com/product-detail/span-style-background-color-ff0-Pin-span-Headers_Ckmtw-Shenzhen-Cankemeng-B-2100S02P-A110_C124375.html" TargetMode="External"/><Relationship Id="rId48" Type="http://schemas.openxmlformats.org/officeDocument/2006/relationships/hyperlink" Target="https://vi.aliexpress.com/item/32948688928.html" TargetMode="External"/><Relationship Id="rId8" Type="http://schemas.openxmlformats.org/officeDocument/2006/relationships/hyperlink" Target="https://www.lcsc.com/product-detail/Wire-To-Board-Wire-To-Wire-Connector_BOOMELE-Boom-Precision-Elec-C145963_C145963.html" TargetMode="External"/><Relationship Id="rId51" Type="http://schemas.openxmlformats.org/officeDocument/2006/relationships/hyperlink" Target="https://www.lcsc.com/product-detail/Speakers_FUET-FS40DS0430-H18-8_C969979.html" TargetMode="External"/><Relationship Id="rId3" Type="http://schemas.openxmlformats.org/officeDocument/2006/relationships/hyperlink" Target="https://www.lcsc.com/product-detail/Multilayer-Ceramic-Capacitors-MLCC-SMD-SMT_YAGEO-CC0805KKX5R8BB106_C89831.html" TargetMode="External"/><Relationship Id="rId12" Type="http://schemas.openxmlformats.org/officeDocument/2006/relationships/hyperlink" Target="https://www.lcsc.com/product-detail/Bipolar-Transistors-BJT_TECH-PUBLIC-MMBT3904M_C2923360.html" TargetMode="External"/><Relationship Id="rId17" Type="http://schemas.openxmlformats.org/officeDocument/2006/relationships/hyperlink" Target="https://www.lcsc.com/product-detail/Tactile-Switches_XKB-Connectivity-TS-1109S-B-J_C480323.html" TargetMode="External"/><Relationship Id="rId25" Type="http://schemas.openxmlformats.org/officeDocument/2006/relationships/hyperlink" Target="https://www.lcsc.com/product-detail/Inductors-SMD_TDK-VLCF5024T-330MR50-2_C2046704.html" TargetMode="External"/><Relationship Id="rId33" Type="http://schemas.openxmlformats.org/officeDocument/2006/relationships/hyperlink" Target="https://www.lcsc.com/product-detail/Chip-Resistor-Surface-Mount_YAGEO-RC0603FR-071KL_C22548.html" TargetMode="External"/><Relationship Id="rId38" Type="http://schemas.openxmlformats.org/officeDocument/2006/relationships/hyperlink" Target="https://www.lcsc.com/product-detail/DC-DC-Converters_Texas-Instruments-TPS61022RWUR_C915088.html" TargetMode="External"/><Relationship Id="rId46" Type="http://schemas.openxmlformats.org/officeDocument/2006/relationships/hyperlink" Target="https://www.lcsc.com/product-detail/MOSFETs_TECH-PUBLIC-SI2302CDS_C5310968.html" TargetMode="External"/><Relationship Id="rId20" Type="http://schemas.openxmlformats.org/officeDocument/2006/relationships/hyperlink" Target="https://www.lcsc.com/product-detail/Multilayer-Ceramic-Capacitors-MLCC-SMD-SMT_YAGEO-CC0603JRNPO8BN102_C309470.html" TargetMode="External"/><Relationship Id="rId41" Type="http://schemas.openxmlformats.org/officeDocument/2006/relationships/hyperlink" Target="https://www.lcsc.com/product-detail/Monitors-Reset-Circuits_ROHM-Semicon-BU4231G-TR_C253184.html" TargetMode="External"/><Relationship Id="rId54" Type="http://schemas.openxmlformats.org/officeDocument/2006/relationships/drawing" Target="../drawings/drawing2.xml"/><Relationship Id="rId1" Type="http://schemas.openxmlformats.org/officeDocument/2006/relationships/hyperlink" Target="https://www.lcsc.com/product-detail/Multilayer-Ceramic-Capacitors-MLCC-SMD-SMT_YAGEO-CC0603JRNPO9BN103_C389113.html" TargetMode="External"/><Relationship Id="rId6" Type="http://schemas.openxmlformats.org/officeDocument/2006/relationships/hyperlink" Target="https://www.lcsc.com/product-detail/USB-Connectors_Korean-Hroparts-Elec-TYPE-C-31-M-12_C165948.html" TargetMode="External"/><Relationship Id="rId15" Type="http://schemas.openxmlformats.org/officeDocument/2006/relationships/hyperlink" Target="https://www.lcsc.com/product-detail/Chip-Resistor-Surface-Mount_YAGEO-RC0603FR-075K1L_C105580.html" TargetMode="External"/><Relationship Id="rId23" Type="http://schemas.openxmlformats.org/officeDocument/2006/relationships/hyperlink" Target="https://www.lcsc.com/product-detail/Ferrite-Beads_Murata-Electronics-BLM31PG121SN1L_C85841.html" TargetMode="External"/><Relationship Id="rId28" Type="http://schemas.openxmlformats.org/officeDocument/2006/relationships/hyperlink" Target="https://www.lcsc.com/product-detail/Chip-Resistor-Surface-Mount_YAGEO-RC0603JR-07330RL_C105879.html" TargetMode="External"/><Relationship Id="rId36" Type="http://schemas.openxmlformats.org/officeDocument/2006/relationships/hyperlink" Target="https://www.lcsc.com/product-detail/Battery-Management-ICs_TOPPOWER-Nanjing-Extension-Microelectronics-TP4056-42-ESOP8_C16581.html" TargetMode="External"/><Relationship Id="rId49" Type="http://schemas.openxmlformats.org/officeDocument/2006/relationships/hyperlink" Target="https://vi.aliexpress.com/item/1005005257036835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C0603FR-0710KL_C98220.html" TargetMode="External"/><Relationship Id="rId18" Type="http://schemas.openxmlformats.org/officeDocument/2006/relationships/hyperlink" Target="https://www.lcsc.com/product-detail/WiFi-Modules_Espressif-Systems-ESP32-WROOM-32E-N8_C701342.html" TargetMode="External"/><Relationship Id="rId26" Type="http://schemas.openxmlformats.org/officeDocument/2006/relationships/hyperlink" Target="https://www.lcsc.com/product-detail/Light-Emitting-Diodes-LED_Worldsemi-WS2812B-XF02-W_C4154882.html" TargetMode="External"/><Relationship Id="rId39" Type="http://schemas.openxmlformats.org/officeDocument/2006/relationships/hyperlink" Target="https://www.lcsc.com/product-detail/Linear-Voltage-Regulators-LDO_MaxLinear-SPX3819M5-L-3-3-TR_C9055.html" TargetMode="External"/><Relationship Id="rId21" Type="http://schemas.openxmlformats.org/officeDocument/2006/relationships/hyperlink" Target="https://www.lcsc.com/product-detail/ESD-Protection-Devices_Nexperia-PESD5V0H1BSF_C477989.html" TargetMode="External"/><Relationship Id="rId34" Type="http://schemas.openxmlformats.org/officeDocument/2006/relationships/hyperlink" Target="https://www.lcsc.com/product-detail/Chip-Resistor-Surface-Mount_YAGEO-RC0603FR-071ML_C105578.html" TargetMode="External"/><Relationship Id="rId42" Type="http://schemas.openxmlformats.org/officeDocument/2006/relationships/hyperlink" Target="https://www.lcsc.com/product-detail/Audio-Power-OpAmps_Maxim-Integrated-MAX98357AETE-T_C910544.html" TargetMode="External"/><Relationship Id="rId47" Type="http://schemas.openxmlformats.org/officeDocument/2006/relationships/hyperlink" Target="https://www.lcsc.com/product-detail/Chip-Resistor-Surface-Mount_YAGEO-RC0402FR-0710KL_C60490.html" TargetMode="External"/><Relationship Id="rId50" Type="http://schemas.openxmlformats.org/officeDocument/2006/relationships/hyperlink" Target="https://www.lcsc.com/product-detail/Chip-span-style-background-color-ff0-Resistor-span-Surface-Mount_YAGEO-RT0402BRD0768RL_C852891.html" TargetMode="External"/><Relationship Id="rId7" Type="http://schemas.openxmlformats.org/officeDocument/2006/relationships/hyperlink" Target="https://www.lcsc.com/product-detail/Wire-To-Board-Wire-To-Wire-Connector_JST-Sales-America-B2B-XH-A-LF-SN_C158012.html" TargetMode="External"/><Relationship Id="rId2" Type="http://schemas.openxmlformats.org/officeDocument/2006/relationships/hyperlink" Target="https://www.lcsc.com/product-detail/Multilayer-Ceramic-Capacitors-MLCC-SMD-SMT_YAGEO-CC0603MRX5R6BB226_C109447.html" TargetMode="External"/><Relationship Id="rId16" Type="http://schemas.openxmlformats.org/officeDocument/2006/relationships/hyperlink" Target="https://www.lcsc.com/product-detail/Tactile-Switches_XKB-Connectivity-TS-1109S-C-B_C381037.html" TargetMode="External"/><Relationship Id="rId29" Type="http://schemas.openxmlformats.org/officeDocument/2006/relationships/hyperlink" Target="https://www.lcsc.com/product-detail/Chip-Resistor-Surface-Mount_UNI-ROYAL-Uniroyal-Elec-0603WAF1201T5E_C22765.html" TargetMode="External"/><Relationship Id="rId11" Type="http://schemas.openxmlformats.org/officeDocument/2006/relationships/hyperlink" Target="https://www.lcsc.com/product-detail/MOSFETs_Guangdong-Hottech-AO3407_C181093.html" TargetMode="External"/><Relationship Id="rId24" Type="http://schemas.openxmlformats.org/officeDocument/2006/relationships/hyperlink" Target="https://www.lcsc.com/product-detail/Power-Inductors_microgate-MPIT6045-1R0N-LF_C486570.html" TargetMode="External"/><Relationship Id="rId32" Type="http://schemas.openxmlformats.org/officeDocument/2006/relationships/hyperlink" Target="https://www.lcsc.com/product-detail/Chip-Resistor-Surface-Mount_YAGEO-RC0603FR-070RL_C100044.html" TargetMode="External"/><Relationship Id="rId37" Type="http://schemas.openxmlformats.org/officeDocument/2006/relationships/hyperlink" Target="https://www.lcsc.com/product-detail/Power-Distribution-Switches_Texas-Instruments-LM66200DRLR_C3235556.html" TargetMode="External"/><Relationship Id="rId40" Type="http://schemas.openxmlformats.org/officeDocument/2006/relationships/hyperlink" Target="https://www.lcsc.com/product-detail/Interface-Specialized_Maxim-Integrated-MAX16054AZT-T_C79401.html" TargetMode="External"/><Relationship Id="rId45" Type="http://schemas.openxmlformats.org/officeDocument/2006/relationships/hyperlink" Target="https://www.lcsc.com/product-detail/Ferrite-Beads_Murata-Electronics-BLM18PG300SN1D_C17305.html" TargetMode="External"/><Relationship Id="rId53" Type="http://schemas.openxmlformats.org/officeDocument/2006/relationships/printerSettings" Target="../printerSettings/printerSettings3.bin"/><Relationship Id="rId5" Type="http://schemas.openxmlformats.org/officeDocument/2006/relationships/hyperlink" Target="https://www.lcsc.com/product-detail/Zener-Diodes_EIC-Semicon-MM3Z3V3B_C2978865.html" TargetMode="External"/><Relationship Id="rId10" Type="http://schemas.openxmlformats.org/officeDocument/2006/relationships/hyperlink" Target="https://www.lcsc.com/product-detail/Light-Emitting-Diodes-LED_Foshan-NationStar-Optoelectronics-NCD0603R3_C3151730.html" TargetMode="External"/><Relationship Id="rId19" Type="http://schemas.openxmlformats.org/officeDocument/2006/relationships/hyperlink" Target="https://www.lcsc.com/product-detail/Multilayer-Ceramic-Capacitors-MLCC-SMD-SMT_YAGEO-CC0603KRX5R8BB105_C14664.html" TargetMode="External"/><Relationship Id="rId31" Type="http://schemas.openxmlformats.org/officeDocument/2006/relationships/hyperlink" Target="https://www.lcsc.com/product-detail/Chip-Resistor-Surface-Mount_YAGEO-RC0603JR-0747KL_C127447.html" TargetMode="External"/><Relationship Id="rId44" Type="http://schemas.openxmlformats.org/officeDocument/2006/relationships/hyperlink" Target="https://www.lcsc.com/product-detail/Multilayer-Ceramic-Capacitors-MLCC-SMD-SMT_YAGEO-CC0402JRNPO9BN221_C107001.html" TargetMode="External"/><Relationship Id="rId52" Type="http://schemas.openxmlformats.org/officeDocument/2006/relationships/hyperlink" Target="https://www.chipsmall.com/Products/TL1260GQRBLK_17235276.html" TargetMode="External"/><Relationship Id="rId4" Type="http://schemas.openxmlformats.org/officeDocument/2006/relationships/hyperlink" Target="https://www.lcsc.com/product-detail/Multilayer-Ceramic-Capacitors-MLCC-SMD-SMT_YAGEO-CC0402KRX5R8BB104_C106256.html" TargetMode="External"/><Relationship Id="rId9" Type="http://schemas.openxmlformats.org/officeDocument/2006/relationships/hyperlink" Target="https://www.lcsc.com/product-detail/Light-Emitting-Diodes-LED_Foshan-NationStar-Optoelectronics-NCD0603G2_C87326.html" TargetMode="External"/><Relationship Id="rId14" Type="http://schemas.openxmlformats.org/officeDocument/2006/relationships/hyperlink" Target="https://www.lcsc.com/product-detail/Chip-Resistor-Surface-Mount_YAGEO-RC0603JR-074K7L_C105428.html" TargetMode="External"/><Relationship Id="rId22" Type="http://schemas.openxmlformats.org/officeDocument/2006/relationships/hyperlink" Target="https://www.lcsc.com/product-detail/Resettable-Fuses_BHFUSE-BSMD0805L-200_C2757931.html" TargetMode="External"/><Relationship Id="rId27" Type="http://schemas.openxmlformats.org/officeDocument/2006/relationships/hyperlink" Target="https://www.lcsc.com/product-detail/Chip-Resistor-Surface-Mount_YAGEO-RC0603FR-07220RL_C107696.html" TargetMode="External"/><Relationship Id="rId30" Type="http://schemas.openxmlformats.org/officeDocument/2006/relationships/hyperlink" Target="https://www.lcsc.com/product-detail/Chip-Resistor-Surface-Mount_FOJAN-FRC0402F7323TS_C5159692.html" TargetMode="External"/><Relationship Id="rId35" Type="http://schemas.openxmlformats.org/officeDocument/2006/relationships/hyperlink" Target="https://www.lcsc.com/product-detail/Chip-Resistor-Surface-Mount_YAGEO-RT0603BRD07100KL_C122538.html" TargetMode="External"/><Relationship Id="rId43" Type="http://schemas.openxmlformats.org/officeDocument/2006/relationships/hyperlink" Target="https://www.lcsc.com/product-detail/span-style-background-color-ff0-Pin-span-Headers_Ckmtw-Shenzhen-Cankemeng-B-2100S02P-A110_C124375.html" TargetMode="External"/><Relationship Id="rId48" Type="http://schemas.openxmlformats.org/officeDocument/2006/relationships/hyperlink" Target="https://vi.aliexpress.com/item/32948688928.html" TargetMode="External"/><Relationship Id="rId8" Type="http://schemas.openxmlformats.org/officeDocument/2006/relationships/hyperlink" Target="https://www.lcsc.com/product-detail/Wire-To-Board-Wire-To-Wire-Connector_BOOMELE-Boom-Precision-Elec-C145963_C145963.html" TargetMode="External"/><Relationship Id="rId51" Type="http://schemas.openxmlformats.org/officeDocument/2006/relationships/hyperlink" Target="https://www.lcsc.com/product-detail/Speakers_FUET-FS40DS0430-H18-8_C969979.html" TargetMode="External"/><Relationship Id="rId3" Type="http://schemas.openxmlformats.org/officeDocument/2006/relationships/hyperlink" Target="https://www.lcsc.com/product-detail/Multilayer-Ceramic-Capacitors-MLCC-SMD-SMT_YAGEO-CC0805KKX5R8BB106_C89831.html" TargetMode="External"/><Relationship Id="rId12" Type="http://schemas.openxmlformats.org/officeDocument/2006/relationships/hyperlink" Target="https://www.lcsc.com/product-detail/Bipolar-Transistors-BJT_TECH-PUBLIC-MMBT3904M_C2923360.html" TargetMode="External"/><Relationship Id="rId17" Type="http://schemas.openxmlformats.org/officeDocument/2006/relationships/hyperlink" Target="https://www.lcsc.com/product-detail/Tactile-Switches_XKB-Connectivity-TS-1109S-B-J_C480323.html" TargetMode="External"/><Relationship Id="rId25" Type="http://schemas.openxmlformats.org/officeDocument/2006/relationships/hyperlink" Target="https://www.lcsc.com/product-detail/Inductors-SMD_TDK-VLCF5024T-330MR50-2_C2046704.html" TargetMode="External"/><Relationship Id="rId33" Type="http://schemas.openxmlformats.org/officeDocument/2006/relationships/hyperlink" Target="https://www.lcsc.com/product-detail/Chip-Resistor-Surface-Mount_YAGEO-RC0603FR-071KL_C22548.html" TargetMode="External"/><Relationship Id="rId38" Type="http://schemas.openxmlformats.org/officeDocument/2006/relationships/hyperlink" Target="https://www.lcsc.com/product-detail/DC-DC-Converters_Texas-Instruments-TPS61022RWUR_C915088.html" TargetMode="External"/><Relationship Id="rId46" Type="http://schemas.openxmlformats.org/officeDocument/2006/relationships/hyperlink" Target="https://www.lcsc.com/product-detail/MOSFETs_TECH-PUBLIC-SI2302CDS_C5310968.html" TargetMode="External"/><Relationship Id="rId20" Type="http://schemas.openxmlformats.org/officeDocument/2006/relationships/hyperlink" Target="https://www.lcsc.com/product-detail/Multilayer-Ceramic-Capacitors-MLCC-SMD-SMT_YAGEO-CC0603JRNPO8BN102_C309470.html" TargetMode="External"/><Relationship Id="rId41" Type="http://schemas.openxmlformats.org/officeDocument/2006/relationships/hyperlink" Target="https://www.lcsc.com/product-detail/Monitors-Reset-Circuits_ROHM-Semicon-BU4231G-TR_C253184.html" TargetMode="External"/><Relationship Id="rId54" Type="http://schemas.openxmlformats.org/officeDocument/2006/relationships/drawing" Target="../drawings/drawing3.xml"/><Relationship Id="rId1" Type="http://schemas.openxmlformats.org/officeDocument/2006/relationships/hyperlink" Target="https://www.lcsc.com/product-detail/Multilayer-Ceramic-Capacitors-MLCC-SMD-SMT_YAGEO-CC0603JRNPO9BN103_C389113.html" TargetMode="External"/><Relationship Id="rId6" Type="http://schemas.openxmlformats.org/officeDocument/2006/relationships/hyperlink" Target="https://www.lcsc.com/product-detail/USB-Connectors_Korean-Hroparts-Elec-TYPE-C-31-M-12_C165948.html" TargetMode="External"/><Relationship Id="rId15" Type="http://schemas.openxmlformats.org/officeDocument/2006/relationships/hyperlink" Target="https://www.lcsc.com/product-detail/Chip-Resistor-Surface-Mount_YAGEO-RC0603FR-075K1L_C105580.html" TargetMode="External"/><Relationship Id="rId23" Type="http://schemas.openxmlformats.org/officeDocument/2006/relationships/hyperlink" Target="https://www.lcsc.com/product-detail/Ferrite-Beads_Murata-Electronics-BLM31PG121SN1L_C85841.html" TargetMode="External"/><Relationship Id="rId28" Type="http://schemas.openxmlformats.org/officeDocument/2006/relationships/hyperlink" Target="https://www.lcsc.com/product-detail/Chip-Resistor-Surface-Mount_YAGEO-RC0603JR-07330RL_C105879.html" TargetMode="External"/><Relationship Id="rId36" Type="http://schemas.openxmlformats.org/officeDocument/2006/relationships/hyperlink" Target="https://www.lcsc.com/product-detail/Battery-Management-ICs_TOPPOWER-Nanjing-Extension-Microelectronics-TP4056-42-ESOP8_C16581.html" TargetMode="External"/><Relationship Id="rId49" Type="http://schemas.openxmlformats.org/officeDocument/2006/relationships/hyperlink" Target="https://vi.aliexpress.com/item/100500525703683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topLeftCell="A49" workbookViewId="0">
      <selection activeCell="D71" sqref="D71"/>
    </sheetView>
  </sheetViews>
  <sheetFormatPr defaultRowHeight="15" x14ac:dyDescent="0.25"/>
  <cols>
    <col min="2" max="2" width="3" bestFit="1" customWidth="1"/>
    <col min="3" max="3" width="17" customWidth="1"/>
    <col min="4" max="4" width="27.5703125" customWidth="1"/>
    <col min="5" max="5" width="30" customWidth="1"/>
    <col min="6" max="6" width="15.7109375" customWidth="1"/>
    <col min="7" max="7" width="25.28515625" bestFit="1" customWidth="1"/>
    <col min="8" max="8" width="22.85546875" customWidth="1"/>
    <col min="9" max="9" width="21.5703125" bestFit="1" customWidth="1"/>
    <col min="10" max="10" width="17" bestFit="1" customWidth="1"/>
    <col min="11" max="11" width="7.5703125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1.7109375" customWidth="1"/>
    <col min="16" max="16" width="18.7109375" bestFit="1" customWidth="1"/>
    <col min="17" max="17" width="19.28515625" bestFit="1" customWidth="1"/>
    <col min="18" max="18" width="8.7109375" bestFit="1" customWidth="1"/>
    <col min="19" max="19" width="26" customWidth="1"/>
    <col min="21" max="21" width="14.85546875" customWidth="1"/>
    <col min="22" max="22" width="25.28515625" bestFit="1" customWidth="1"/>
    <col min="24" max="24" width="9.85546875" customWidth="1"/>
    <col min="25" max="25" width="11.42578125" customWidth="1"/>
    <col min="26" max="26" width="9.5703125" bestFit="1" customWidth="1"/>
  </cols>
  <sheetData>
    <row r="1" spans="1:26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86"/>
      <c r="L1" s="86"/>
      <c r="M1" s="86"/>
      <c r="N1" s="86"/>
      <c r="O1" s="86"/>
      <c r="P1" s="86"/>
      <c r="Q1" s="86"/>
      <c r="R1" s="86"/>
      <c r="S1" s="87"/>
    </row>
    <row r="2" spans="1:26" ht="32.25" thickBot="1" x14ac:dyDescent="0.3">
      <c r="A2" s="1"/>
      <c r="B2" s="21"/>
      <c r="C2" s="31"/>
      <c r="D2" s="11" t="s">
        <v>0</v>
      </c>
      <c r="E2" s="11"/>
      <c r="F2" s="53" t="s">
        <v>159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26" x14ac:dyDescent="0.25">
      <c r="A3" s="1"/>
      <c r="B3" s="22"/>
      <c r="C3" s="32"/>
      <c r="D3" s="13" t="s">
        <v>1</v>
      </c>
      <c r="E3" s="13"/>
      <c r="F3" s="54" t="s">
        <v>160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8"/>
    </row>
    <row r="4" spans="1:26" x14ac:dyDescent="0.25">
      <c r="A4" s="1"/>
      <c r="B4" s="22"/>
      <c r="C4" s="32"/>
      <c r="D4" s="13" t="s">
        <v>2</v>
      </c>
      <c r="E4" s="13"/>
      <c r="F4" s="54" t="s">
        <v>160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9"/>
    </row>
    <row r="5" spans="1:26" x14ac:dyDescent="0.25">
      <c r="A5" s="1"/>
      <c r="B5" s="22"/>
      <c r="C5" s="32"/>
      <c r="D5" s="13" t="s">
        <v>3</v>
      </c>
      <c r="E5" s="13"/>
      <c r="F5" s="55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9"/>
    </row>
    <row r="6" spans="1:26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9"/>
    </row>
    <row r="7" spans="1:26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9"/>
    </row>
    <row r="8" spans="1:26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9"/>
    </row>
    <row r="9" spans="1:26" ht="15.75" thickBot="1" x14ac:dyDescent="0.3">
      <c r="A9" s="1"/>
      <c r="B9" s="30" t="s">
        <v>4</v>
      </c>
      <c r="C9" s="30" t="s">
        <v>8</v>
      </c>
      <c r="D9" s="30" t="s">
        <v>27</v>
      </c>
      <c r="E9" s="30" t="s">
        <v>42</v>
      </c>
      <c r="F9" s="30" t="s">
        <v>66</v>
      </c>
      <c r="G9" s="30" t="s">
        <v>80</v>
      </c>
      <c r="H9" s="30" t="s">
        <v>100</v>
      </c>
      <c r="I9" s="30" t="s">
        <v>149</v>
      </c>
      <c r="J9" s="30" t="s">
        <v>117</v>
      </c>
      <c r="K9" s="30" t="s">
        <v>157</v>
      </c>
      <c r="L9" s="30" t="s">
        <v>148</v>
      </c>
      <c r="M9" s="30" t="s">
        <v>163</v>
      </c>
      <c r="N9" s="30" t="s">
        <v>164</v>
      </c>
      <c r="O9" s="30" t="s">
        <v>152</v>
      </c>
      <c r="P9" s="30" t="s">
        <v>165</v>
      </c>
      <c r="Q9" s="30" t="s">
        <v>192</v>
      </c>
      <c r="R9" s="30" t="s">
        <v>154</v>
      </c>
      <c r="S9" s="30" t="s">
        <v>155</v>
      </c>
    </row>
    <row r="10" spans="1:26" s="59" customFormat="1" x14ac:dyDescent="0.25">
      <c r="A10" s="57"/>
      <c r="B10" s="47">
        <f t="shared" ref="B10:B14" si="0">ROW(B10) - ROW($B$9)</f>
        <v>1</v>
      </c>
      <c r="C10" s="51" t="s">
        <v>9</v>
      </c>
      <c r="D10" s="37" t="s">
        <v>298</v>
      </c>
      <c r="E10" s="49" t="s">
        <v>46</v>
      </c>
      <c r="F10" s="49" t="s">
        <v>68</v>
      </c>
      <c r="G10" s="49" t="s">
        <v>84</v>
      </c>
      <c r="H10" s="49" t="s">
        <v>101</v>
      </c>
      <c r="I10" s="49" t="s">
        <v>156</v>
      </c>
      <c r="J10" s="49" t="s">
        <v>121</v>
      </c>
      <c r="K10" s="49" t="s">
        <v>141</v>
      </c>
      <c r="L10" s="37">
        <v>6</v>
      </c>
      <c r="M10" s="37">
        <f t="shared" ref="M10:M56" si="1">L10*2</f>
        <v>12</v>
      </c>
      <c r="N10" s="49">
        <v>20</v>
      </c>
      <c r="O10" s="64" t="s">
        <v>161</v>
      </c>
      <c r="P10" s="50">
        <v>3.9300000000000002E-2</v>
      </c>
      <c r="Q10" s="38">
        <f>P10*N10</f>
        <v>0.78600000000000003</v>
      </c>
      <c r="R10" s="37"/>
      <c r="S10" s="58"/>
      <c r="U10"/>
      <c r="V10"/>
      <c r="W10"/>
    </row>
    <row r="11" spans="1:26" s="59" customFormat="1" ht="24" x14ac:dyDescent="0.25">
      <c r="A11" s="57"/>
      <c r="B11" s="47">
        <f>ROW(B11) - ROW($B$9)</f>
        <v>2</v>
      </c>
      <c r="C11" s="52" t="s">
        <v>9</v>
      </c>
      <c r="D11" s="49" t="s">
        <v>295</v>
      </c>
      <c r="E11" s="49" t="s">
        <v>47</v>
      </c>
      <c r="F11" s="49" t="s">
        <v>69</v>
      </c>
      <c r="G11" s="49" t="s">
        <v>85</v>
      </c>
      <c r="H11" s="49" t="s">
        <v>101</v>
      </c>
      <c r="I11" s="49" t="s">
        <v>156</v>
      </c>
      <c r="J11" s="49" t="s">
        <v>122</v>
      </c>
      <c r="K11" s="49" t="s">
        <v>140</v>
      </c>
      <c r="L11" s="49">
        <v>15</v>
      </c>
      <c r="M11" s="37">
        <f t="shared" si="1"/>
        <v>30</v>
      </c>
      <c r="N11" s="37">
        <v>100</v>
      </c>
      <c r="O11" s="64" t="s">
        <v>161</v>
      </c>
      <c r="P11" s="50">
        <v>1.9E-3</v>
      </c>
      <c r="Q11" s="50">
        <f t="shared" ref="Q11" si="2">P11*N11</f>
        <v>0.19</v>
      </c>
      <c r="R11" s="49"/>
      <c r="S11" s="56"/>
      <c r="U11"/>
      <c r="V11"/>
      <c r="W11"/>
    </row>
    <row r="12" spans="1:26" s="59" customFormat="1" x14ac:dyDescent="0.25">
      <c r="A12" s="57"/>
      <c r="B12" s="46">
        <f>ROW(B12) - ROW($B$9)</f>
        <v>3</v>
      </c>
      <c r="C12" s="51" t="s">
        <v>9</v>
      </c>
      <c r="D12" s="37" t="s">
        <v>296</v>
      </c>
      <c r="E12" s="37" t="s">
        <v>43</v>
      </c>
      <c r="F12" s="37" t="s">
        <v>67</v>
      </c>
      <c r="G12" s="37" t="s">
        <v>81</v>
      </c>
      <c r="H12" s="37" t="s">
        <v>101</v>
      </c>
      <c r="I12" s="37" t="s">
        <v>156</v>
      </c>
      <c r="J12" s="37" t="s">
        <v>118</v>
      </c>
      <c r="K12" s="37" t="s">
        <v>137</v>
      </c>
      <c r="L12" s="37">
        <v>4</v>
      </c>
      <c r="M12" s="37">
        <f>L12*2</f>
        <v>8</v>
      </c>
      <c r="N12" s="37">
        <v>50</v>
      </c>
      <c r="O12" s="63" t="s">
        <v>161</v>
      </c>
      <c r="P12" s="38">
        <v>1.5599999999999999E-2</v>
      </c>
      <c r="Q12" s="38">
        <f>P12*N12</f>
        <v>0.77999999999999992</v>
      </c>
      <c r="R12" s="37"/>
      <c r="S12" s="56"/>
      <c r="U12"/>
      <c r="V12"/>
      <c r="W12"/>
    </row>
    <row r="13" spans="1:26" x14ac:dyDescent="0.25">
      <c r="A13" s="1"/>
      <c r="B13" s="47">
        <f t="shared" ref="B13" si="3">ROW(B13) - ROW($B$9)</f>
        <v>4</v>
      </c>
      <c r="C13" s="51" t="s">
        <v>9</v>
      </c>
      <c r="D13" s="49" t="s">
        <v>166</v>
      </c>
      <c r="E13" s="49" t="s">
        <v>177</v>
      </c>
      <c r="F13" s="49" t="s">
        <v>69</v>
      </c>
      <c r="G13" s="49" t="s">
        <v>178</v>
      </c>
      <c r="H13" s="49" t="s">
        <v>101</v>
      </c>
      <c r="I13" s="49" t="s">
        <v>156</v>
      </c>
      <c r="J13" s="49" t="s">
        <v>179</v>
      </c>
      <c r="K13" s="49" t="s">
        <v>180</v>
      </c>
      <c r="L13" s="49">
        <v>2</v>
      </c>
      <c r="M13" s="49">
        <f>L13*2</f>
        <v>4</v>
      </c>
      <c r="N13" s="49">
        <v>100</v>
      </c>
      <c r="O13" s="64" t="s">
        <v>161</v>
      </c>
      <c r="P13" s="50">
        <v>2.7000000000000001E-3</v>
      </c>
      <c r="Q13" s="50">
        <f t="shared" ref="Q13" si="4">P13*N13</f>
        <v>0.27</v>
      </c>
      <c r="R13" s="49"/>
      <c r="S13" s="56"/>
      <c r="X13" s="59"/>
      <c r="Y13" s="59"/>
      <c r="Z13" s="59"/>
    </row>
    <row r="14" spans="1:26" s="59" customFormat="1" x14ac:dyDescent="0.25">
      <c r="A14" s="57"/>
      <c r="B14" s="47">
        <f t="shared" si="0"/>
        <v>5</v>
      </c>
      <c r="C14" s="51" t="s">
        <v>9</v>
      </c>
      <c r="D14" s="37" t="s">
        <v>175</v>
      </c>
      <c r="E14" s="49" t="s">
        <v>45</v>
      </c>
      <c r="F14" s="49" t="s">
        <v>67</v>
      </c>
      <c r="G14" s="49" t="s">
        <v>83</v>
      </c>
      <c r="H14" s="49" t="s">
        <v>101</v>
      </c>
      <c r="I14" s="49" t="s">
        <v>156</v>
      </c>
      <c r="J14" s="49" t="s">
        <v>120</v>
      </c>
      <c r="K14" s="49" t="s">
        <v>139</v>
      </c>
      <c r="L14" s="49">
        <v>5</v>
      </c>
      <c r="M14" s="37">
        <f t="shared" si="1"/>
        <v>10</v>
      </c>
      <c r="N14" s="37">
        <v>100</v>
      </c>
      <c r="O14" s="64" t="s">
        <v>161</v>
      </c>
      <c r="P14" s="50">
        <v>5.1999999999999998E-3</v>
      </c>
      <c r="Q14" s="50">
        <f t="shared" ref="Q14" si="5">P14*N14</f>
        <v>0.52</v>
      </c>
      <c r="R14" s="49"/>
      <c r="S14" s="56"/>
      <c r="U14"/>
      <c r="V14"/>
      <c r="W14"/>
    </row>
    <row r="15" spans="1:26" s="59" customFormat="1" x14ac:dyDescent="0.25">
      <c r="A15" s="57"/>
      <c r="B15" s="47">
        <f t="shared" ref="B15:B63" si="6">ROW(B15) - ROW($B$9)</f>
        <v>6</v>
      </c>
      <c r="C15" s="51" t="s">
        <v>9</v>
      </c>
      <c r="D15" s="37" t="s">
        <v>297</v>
      </c>
      <c r="E15" s="49" t="s">
        <v>44</v>
      </c>
      <c r="F15" s="49" t="s">
        <v>67</v>
      </c>
      <c r="G15" s="49" t="s">
        <v>82</v>
      </c>
      <c r="H15" s="49" t="s">
        <v>101</v>
      </c>
      <c r="I15" s="49" t="s">
        <v>156</v>
      </c>
      <c r="J15" s="49" t="s">
        <v>119</v>
      </c>
      <c r="K15" s="49" t="s">
        <v>138</v>
      </c>
      <c r="L15" s="49">
        <v>4</v>
      </c>
      <c r="M15" s="37">
        <f t="shared" si="1"/>
        <v>8</v>
      </c>
      <c r="N15" s="37">
        <v>20</v>
      </c>
      <c r="O15" s="64" t="s">
        <v>161</v>
      </c>
      <c r="P15" s="50">
        <v>3.5700000000000003E-2</v>
      </c>
      <c r="Q15" s="50">
        <f t="shared" ref="Q15" si="7">P15*N15</f>
        <v>0.71400000000000008</v>
      </c>
      <c r="R15" s="49"/>
      <c r="S15" s="56"/>
      <c r="U15"/>
      <c r="V15"/>
      <c r="W15"/>
    </row>
    <row r="16" spans="1:26" x14ac:dyDescent="0.25">
      <c r="A16" s="1"/>
      <c r="B16" s="47">
        <f t="shared" si="6"/>
        <v>7</v>
      </c>
      <c r="C16" s="52" t="s">
        <v>9</v>
      </c>
      <c r="D16" s="49" t="s">
        <v>181</v>
      </c>
      <c r="E16" s="49" t="s">
        <v>182</v>
      </c>
      <c r="F16" s="49" t="s">
        <v>183</v>
      </c>
      <c r="G16" s="49" t="s">
        <v>184</v>
      </c>
      <c r="H16" s="49" t="s">
        <v>101</v>
      </c>
      <c r="I16" s="49" t="s">
        <v>156</v>
      </c>
      <c r="J16" s="49" t="s">
        <v>185</v>
      </c>
      <c r="K16" s="49" t="s">
        <v>186</v>
      </c>
      <c r="L16" s="49">
        <v>1</v>
      </c>
      <c r="M16" s="49">
        <f>L16*2</f>
        <v>2</v>
      </c>
      <c r="N16" s="49">
        <v>100</v>
      </c>
      <c r="O16" s="64" t="s">
        <v>161</v>
      </c>
      <c r="P16" s="50">
        <v>4.0000000000000001E-3</v>
      </c>
      <c r="Q16" s="50">
        <f t="shared" ref="Q16" si="8">P16*N16</f>
        <v>0.4</v>
      </c>
      <c r="R16" s="49"/>
      <c r="S16" s="56"/>
      <c r="X16" s="59"/>
      <c r="Y16" s="59"/>
      <c r="Z16" s="59"/>
    </row>
    <row r="17" spans="1:26" x14ac:dyDescent="0.25">
      <c r="A17" s="1"/>
      <c r="B17" s="46">
        <f>ROW(B17) - ROW($B$9)</f>
        <v>8</v>
      </c>
      <c r="C17" s="51" t="s">
        <v>10</v>
      </c>
      <c r="D17" s="37" t="s">
        <v>187</v>
      </c>
      <c r="E17" s="37" t="s">
        <v>188</v>
      </c>
      <c r="F17" s="37" t="s">
        <v>189</v>
      </c>
      <c r="G17" s="37" t="s">
        <v>190</v>
      </c>
      <c r="H17" s="37" t="s">
        <v>104</v>
      </c>
      <c r="I17" s="37" t="s">
        <v>156</v>
      </c>
      <c r="J17" s="37" t="s">
        <v>191</v>
      </c>
      <c r="K17" s="37" t="s">
        <v>156</v>
      </c>
      <c r="L17" s="37">
        <v>1</v>
      </c>
      <c r="M17" s="37">
        <f>L17*5</f>
        <v>5</v>
      </c>
      <c r="N17" s="37">
        <v>10</v>
      </c>
      <c r="O17" s="63" t="s">
        <v>161</v>
      </c>
      <c r="P17" s="38">
        <v>6.4299999999999996E-2</v>
      </c>
      <c r="Q17" s="38">
        <f>P17*N17</f>
        <v>0.64300000000000002</v>
      </c>
      <c r="R17" s="37"/>
      <c r="S17" s="56"/>
      <c r="X17" s="59"/>
      <c r="Y17" s="59"/>
      <c r="Z17" s="59"/>
    </row>
    <row r="18" spans="1:26" s="59" customFormat="1" ht="24" x14ac:dyDescent="0.25">
      <c r="A18" s="57"/>
      <c r="B18" s="47">
        <f t="shared" si="6"/>
        <v>9</v>
      </c>
      <c r="C18" s="51" t="s">
        <v>10</v>
      </c>
      <c r="D18" s="70" t="s">
        <v>28</v>
      </c>
      <c r="E18" s="49" t="s">
        <v>48</v>
      </c>
      <c r="F18" s="49" t="s">
        <v>70</v>
      </c>
      <c r="G18" s="49" t="s">
        <v>86</v>
      </c>
      <c r="H18" s="49" t="s">
        <v>103</v>
      </c>
      <c r="I18" s="49" t="s">
        <v>156</v>
      </c>
      <c r="J18" s="49" t="s">
        <v>123</v>
      </c>
      <c r="K18" s="49" t="s">
        <v>156</v>
      </c>
      <c r="L18" s="49">
        <v>1</v>
      </c>
      <c r="M18" s="37">
        <f t="shared" si="1"/>
        <v>2</v>
      </c>
      <c r="N18" s="37">
        <v>10</v>
      </c>
      <c r="O18" s="64" t="s">
        <v>161</v>
      </c>
      <c r="P18" s="50">
        <v>4.48E-2</v>
      </c>
      <c r="Q18" s="38">
        <f>P18*N18</f>
        <v>0.44800000000000001</v>
      </c>
      <c r="R18" s="37"/>
      <c r="S18" s="56"/>
      <c r="U18"/>
      <c r="V18"/>
      <c r="W18"/>
    </row>
    <row r="19" spans="1:26" ht="24" x14ac:dyDescent="0.25">
      <c r="A19" s="1"/>
      <c r="B19" s="46">
        <f t="shared" ref="B19:B25" si="9">ROW(B19) - ROW($B$9)</f>
        <v>10</v>
      </c>
      <c r="C19" s="51" t="s">
        <v>11</v>
      </c>
      <c r="D19" s="37" t="s">
        <v>29</v>
      </c>
      <c r="E19" s="37" t="s">
        <v>193</v>
      </c>
      <c r="F19" s="37" t="s">
        <v>194</v>
      </c>
      <c r="G19" s="37" t="s">
        <v>195</v>
      </c>
      <c r="H19" s="37" t="s">
        <v>105</v>
      </c>
      <c r="I19" s="37" t="s">
        <v>156</v>
      </c>
      <c r="J19" s="37" t="s">
        <v>196</v>
      </c>
      <c r="K19" s="37" t="s">
        <v>156</v>
      </c>
      <c r="L19" s="37">
        <v>1</v>
      </c>
      <c r="M19" s="37">
        <f>L19*2</f>
        <v>2</v>
      </c>
      <c r="N19" s="37">
        <v>5</v>
      </c>
      <c r="O19" s="63" t="s">
        <v>161</v>
      </c>
      <c r="P19" s="38">
        <v>9.5100000000000004E-2</v>
      </c>
      <c r="Q19" s="38">
        <f>P19*N19</f>
        <v>0.47550000000000003</v>
      </c>
      <c r="R19" s="37"/>
      <c r="S19" s="56"/>
      <c r="X19" s="59"/>
      <c r="Y19" s="59"/>
      <c r="Z19" s="59"/>
    </row>
    <row r="20" spans="1:26" s="59" customFormat="1" x14ac:dyDescent="0.25">
      <c r="A20" s="57"/>
      <c r="B20" s="46">
        <f t="shared" si="9"/>
        <v>11</v>
      </c>
      <c r="C20" s="51" t="s">
        <v>12</v>
      </c>
      <c r="D20" s="37" t="s">
        <v>311</v>
      </c>
      <c r="E20" s="37" t="s">
        <v>322</v>
      </c>
      <c r="F20" s="37" t="s">
        <v>321</v>
      </c>
      <c r="G20" s="37" t="s">
        <v>316</v>
      </c>
      <c r="H20" s="37" t="s">
        <v>102</v>
      </c>
      <c r="I20" s="37" t="s">
        <v>156</v>
      </c>
      <c r="J20" s="37" t="s">
        <v>323</v>
      </c>
      <c r="K20" s="49" t="s">
        <v>156</v>
      </c>
      <c r="L20" s="37">
        <v>3</v>
      </c>
      <c r="M20" s="37">
        <f t="shared" si="1"/>
        <v>6</v>
      </c>
      <c r="N20" s="37">
        <v>100</v>
      </c>
      <c r="O20" s="63" t="s">
        <v>161</v>
      </c>
      <c r="P20" s="38">
        <v>7.1000000000000004E-3</v>
      </c>
      <c r="Q20" s="50">
        <f t="shared" ref="Q20" si="10">P20*N20</f>
        <v>0.71000000000000008</v>
      </c>
      <c r="R20" s="49"/>
      <c r="S20" s="56"/>
      <c r="U20"/>
      <c r="V20"/>
      <c r="W20"/>
    </row>
    <row r="21" spans="1:26" s="59" customFormat="1" x14ac:dyDescent="0.25">
      <c r="A21" s="57"/>
      <c r="B21" s="46">
        <f t="shared" si="9"/>
        <v>12</v>
      </c>
      <c r="C21" s="51" t="s">
        <v>12</v>
      </c>
      <c r="D21" s="37" t="s">
        <v>197</v>
      </c>
      <c r="E21" s="37" t="s">
        <v>198</v>
      </c>
      <c r="F21" s="37" t="s">
        <v>199</v>
      </c>
      <c r="G21" s="37" t="s">
        <v>200</v>
      </c>
      <c r="H21" s="37" t="s">
        <v>102</v>
      </c>
      <c r="I21" s="37" t="s">
        <v>156</v>
      </c>
      <c r="J21" s="37" t="s">
        <v>201</v>
      </c>
      <c r="K21" s="37" t="s">
        <v>202</v>
      </c>
      <c r="L21" s="37">
        <v>1</v>
      </c>
      <c r="M21" s="37">
        <f>L21*2</f>
        <v>2</v>
      </c>
      <c r="N21" s="37">
        <v>5</v>
      </c>
      <c r="O21" s="63" t="s">
        <v>161</v>
      </c>
      <c r="P21" s="38">
        <v>9.5000000000000001E-2</v>
      </c>
      <c r="Q21" s="38">
        <f>P21*N21</f>
        <v>0.47499999999999998</v>
      </c>
      <c r="R21" s="37"/>
      <c r="S21" s="56"/>
      <c r="U21"/>
      <c r="V21"/>
      <c r="W21"/>
    </row>
    <row r="22" spans="1:26" s="59" customFormat="1" ht="36" x14ac:dyDescent="0.25">
      <c r="A22" s="57"/>
      <c r="B22" s="47">
        <f t="shared" si="9"/>
        <v>13</v>
      </c>
      <c r="C22" s="52" t="s">
        <v>14</v>
      </c>
      <c r="D22" s="70" t="s">
        <v>30</v>
      </c>
      <c r="E22" s="49" t="s">
        <v>50</v>
      </c>
      <c r="F22" s="49" t="s">
        <v>158</v>
      </c>
      <c r="G22" s="49" t="s">
        <v>88</v>
      </c>
      <c r="H22" s="49" t="s">
        <v>107</v>
      </c>
      <c r="I22" s="49" t="s">
        <v>156</v>
      </c>
      <c r="J22" s="49" t="s">
        <v>125</v>
      </c>
      <c r="K22" s="49" t="s">
        <v>156</v>
      </c>
      <c r="L22" s="49">
        <v>1</v>
      </c>
      <c r="M22" s="37">
        <f>L22*2</f>
        <v>2</v>
      </c>
      <c r="N22" s="49">
        <v>20</v>
      </c>
      <c r="O22" s="64" t="s">
        <v>161</v>
      </c>
      <c r="P22" s="50">
        <v>3.39E-2</v>
      </c>
      <c r="Q22" s="38">
        <f>P22*N22</f>
        <v>0.67799999999999994</v>
      </c>
      <c r="R22" s="37"/>
      <c r="S22" s="56"/>
      <c r="U22"/>
      <c r="V22"/>
      <c r="W22"/>
    </row>
    <row r="23" spans="1:26" s="59" customFormat="1" ht="24" x14ac:dyDescent="0.25">
      <c r="A23" s="57"/>
      <c r="B23" s="46">
        <f t="shared" si="9"/>
        <v>14</v>
      </c>
      <c r="C23" s="51" t="s">
        <v>13</v>
      </c>
      <c r="D23" s="69" t="s">
        <v>31</v>
      </c>
      <c r="E23" s="37" t="s">
        <v>49</v>
      </c>
      <c r="F23" s="37" t="s">
        <v>158</v>
      </c>
      <c r="G23" s="37" t="s">
        <v>87</v>
      </c>
      <c r="H23" s="37" t="s">
        <v>106</v>
      </c>
      <c r="I23" s="37" t="s">
        <v>156</v>
      </c>
      <c r="J23" s="37" t="s">
        <v>124</v>
      </c>
      <c r="K23" s="49" t="s">
        <v>156</v>
      </c>
      <c r="L23" s="37">
        <v>1</v>
      </c>
      <c r="M23" s="37">
        <f t="shared" si="1"/>
        <v>2</v>
      </c>
      <c r="N23" s="37">
        <v>5</v>
      </c>
      <c r="O23" s="63" t="s">
        <v>161</v>
      </c>
      <c r="P23" s="38">
        <v>0.21740000000000001</v>
      </c>
      <c r="Q23" s="50">
        <f t="shared" ref="Q23" si="11">P23*N23</f>
        <v>1.087</v>
      </c>
      <c r="R23" s="49"/>
      <c r="S23" s="56"/>
      <c r="U23"/>
      <c r="V23"/>
      <c r="W23"/>
    </row>
    <row r="24" spans="1:26" s="59" customFormat="1" ht="36" x14ac:dyDescent="0.25">
      <c r="A24" s="57"/>
      <c r="B24" s="46">
        <f t="shared" si="9"/>
        <v>15</v>
      </c>
      <c r="C24" s="51" t="s">
        <v>15</v>
      </c>
      <c r="D24" s="69" t="s">
        <v>32</v>
      </c>
      <c r="E24" s="37" t="s">
        <v>51</v>
      </c>
      <c r="F24" s="37" t="s">
        <v>158</v>
      </c>
      <c r="G24" s="37" t="s">
        <v>89</v>
      </c>
      <c r="H24" s="37" t="s">
        <v>108</v>
      </c>
      <c r="I24" s="37" t="s">
        <v>156</v>
      </c>
      <c r="J24" s="37" t="s">
        <v>89</v>
      </c>
      <c r="K24" s="49" t="s">
        <v>156</v>
      </c>
      <c r="L24" s="37">
        <v>1</v>
      </c>
      <c r="M24" s="37">
        <f t="shared" si="1"/>
        <v>2</v>
      </c>
      <c r="N24" s="37">
        <v>12</v>
      </c>
      <c r="O24" s="63" t="s">
        <v>161</v>
      </c>
      <c r="P24" s="38">
        <v>7.1999999999999995E-2</v>
      </c>
      <c r="Q24" s="50">
        <f t="shared" ref="Q24" si="12">P24*N24</f>
        <v>0.86399999999999988</v>
      </c>
      <c r="R24" s="49"/>
      <c r="S24" s="56"/>
      <c r="U24"/>
      <c r="V24"/>
      <c r="W24"/>
    </row>
    <row r="25" spans="1:26" x14ac:dyDescent="0.25">
      <c r="A25" s="1"/>
      <c r="B25" s="46">
        <f t="shared" si="9"/>
        <v>16</v>
      </c>
      <c r="C25" s="51" t="s">
        <v>16</v>
      </c>
      <c r="D25" s="69" t="s">
        <v>203</v>
      </c>
      <c r="E25" s="37" t="s">
        <v>52</v>
      </c>
      <c r="F25" s="37" t="s">
        <v>71</v>
      </c>
      <c r="G25" s="61">
        <v>61300211121</v>
      </c>
      <c r="H25" s="37" t="s">
        <v>109</v>
      </c>
      <c r="I25" s="37" t="s">
        <v>299</v>
      </c>
      <c r="J25" s="37" t="s">
        <v>300</v>
      </c>
      <c r="K25" s="37" t="s">
        <v>156</v>
      </c>
      <c r="L25" s="37">
        <v>1</v>
      </c>
      <c r="M25" s="37">
        <f>L25*2</f>
        <v>2</v>
      </c>
      <c r="N25" s="37">
        <v>20</v>
      </c>
      <c r="O25" s="63" t="s">
        <v>161</v>
      </c>
      <c r="P25" s="38">
        <v>2.46E-2</v>
      </c>
      <c r="Q25" s="38">
        <f>P25*N25</f>
        <v>0.49199999999999999</v>
      </c>
      <c r="R25" s="37"/>
      <c r="S25" s="56"/>
      <c r="X25" s="59"/>
      <c r="Y25" s="59"/>
      <c r="Z25" s="59"/>
    </row>
    <row r="26" spans="1:26" ht="24" x14ac:dyDescent="0.25">
      <c r="A26" s="1"/>
      <c r="B26" s="47">
        <f t="shared" ref="B26" si="13">ROW(B26) - ROW($B$9)</f>
        <v>17</v>
      </c>
      <c r="C26" s="52" t="s">
        <v>17</v>
      </c>
      <c r="D26" s="49" t="s">
        <v>33</v>
      </c>
      <c r="E26" s="49" t="s">
        <v>204</v>
      </c>
      <c r="F26" s="49" t="s">
        <v>158</v>
      </c>
      <c r="G26" s="49" t="s">
        <v>205</v>
      </c>
      <c r="H26" s="49" t="s">
        <v>206</v>
      </c>
      <c r="I26" s="49" t="s">
        <v>156</v>
      </c>
      <c r="J26" s="49" t="s">
        <v>207</v>
      </c>
      <c r="K26" s="49" t="s">
        <v>208</v>
      </c>
      <c r="L26" s="49">
        <v>1</v>
      </c>
      <c r="M26" s="49">
        <f>L26*2</f>
        <v>2</v>
      </c>
      <c r="N26" s="37">
        <v>5</v>
      </c>
      <c r="O26" s="64" t="s">
        <v>161</v>
      </c>
      <c r="P26" s="50">
        <v>4.07E-2</v>
      </c>
      <c r="Q26" s="50">
        <f t="shared" ref="Q26" si="14">P26*N26</f>
        <v>0.20350000000000001</v>
      </c>
      <c r="R26" s="49"/>
      <c r="S26" s="56"/>
      <c r="X26" s="59"/>
      <c r="Y26" s="59"/>
      <c r="Z26" s="59"/>
    </row>
    <row r="27" spans="1:26" ht="24" x14ac:dyDescent="0.25">
      <c r="A27" s="1"/>
      <c r="B27" s="46">
        <f>ROW(B27) - ROW($B$9)</f>
        <v>18</v>
      </c>
      <c r="C27" s="51" t="s">
        <v>17</v>
      </c>
      <c r="D27" s="37" t="s">
        <v>209</v>
      </c>
      <c r="E27" s="37" t="s">
        <v>210</v>
      </c>
      <c r="F27" s="37" t="s">
        <v>158</v>
      </c>
      <c r="G27" s="37" t="s">
        <v>211</v>
      </c>
      <c r="H27" s="37" t="s">
        <v>176</v>
      </c>
      <c r="I27" s="37" t="s">
        <v>156</v>
      </c>
      <c r="J27" s="37" t="s">
        <v>212</v>
      </c>
      <c r="K27" s="37" t="s">
        <v>213</v>
      </c>
      <c r="L27" s="37">
        <v>2</v>
      </c>
      <c r="M27" s="37">
        <f>L27*2</f>
        <v>4</v>
      </c>
      <c r="N27" s="37">
        <v>5</v>
      </c>
      <c r="O27" s="63" t="s">
        <v>161</v>
      </c>
      <c r="P27" s="38">
        <v>0.40570000000000001</v>
      </c>
      <c r="Q27" s="38">
        <f>P27*N27</f>
        <v>2.0285000000000002</v>
      </c>
      <c r="R27" s="37"/>
      <c r="S27" s="56"/>
      <c r="X27" s="59"/>
      <c r="Y27" s="59"/>
      <c r="Z27" s="59"/>
    </row>
    <row r="28" spans="1:26" s="59" customFormat="1" ht="24" x14ac:dyDescent="0.25">
      <c r="A28" s="57"/>
      <c r="B28" s="47">
        <f t="shared" si="6"/>
        <v>19</v>
      </c>
      <c r="C28" s="52" t="s">
        <v>18</v>
      </c>
      <c r="D28" s="70" t="s">
        <v>34</v>
      </c>
      <c r="E28" s="49" t="s">
        <v>53</v>
      </c>
      <c r="F28" s="49" t="s">
        <v>72</v>
      </c>
      <c r="G28" s="49" t="s">
        <v>90</v>
      </c>
      <c r="H28" s="49" t="s">
        <v>110</v>
      </c>
      <c r="I28" s="49" t="s">
        <v>156</v>
      </c>
      <c r="J28" s="49" t="s">
        <v>126</v>
      </c>
      <c r="K28" s="49" t="s">
        <v>156</v>
      </c>
      <c r="L28" s="49">
        <v>1</v>
      </c>
      <c r="M28" s="37">
        <f t="shared" si="1"/>
        <v>2</v>
      </c>
      <c r="N28" s="49">
        <v>20</v>
      </c>
      <c r="O28" s="64" t="s">
        <v>161</v>
      </c>
      <c r="P28" s="50">
        <v>2.6499999999999999E-2</v>
      </c>
      <c r="Q28" s="38">
        <f>P28*N28</f>
        <v>0.53</v>
      </c>
      <c r="R28" s="37"/>
      <c r="S28" s="56"/>
      <c r="U28"/>
      <c r="V28"/>
      <c r="W28"/>
    </row>
    <row r="29" spans="1:26" s="59" customFormat="1" ht="24" x14ac:dyDescent="0.25">
      <c r="A29" s="57"/>
      <c r="B29" s="46">
        <f>ROW(B29) - ROW($B$9)</f>
        <v>20</v>
      </c>
      <c r="C29" s="51" t="s">
        <v>18</v>
      </c>
      <c r="D29" s="69" t="s">
        <v>35</v>
      </c>
      <c r="E29" s="37" t="s">
        <v>54</v>
      </c>
      <c r="F29" s="37" t="s">
        <v>72</v>
      </c>
      <c r="G29" s="37" t="s">
        <v>91</v>
      </c>
      <c r="H29" s="37" t="s">
        <v>110</v>
      </c>
      <c r="I29" s="37" t="s">
        <v>156</v>
      </c>
      <c r="J29" s="37" t="s">
        <v>127</v>
      </c>
      <c r="K29" s="37" t="s">
        <v>156</v>
      </c>
      <c r="L29" s="37">
        <v>1</v>
      </c>
      <c r="M29" s="37">
        <f t="shared" si="1"/>
        <v>2</v>
      </c>
      <c r="N29" s="37">
        <v>20</v>
      </c>
      <c r="O29" s="63" t="s">
        <v>161</v>
      </c>
      <c r="P29" s="38">
        <v>2.3300000000000001E-2</v>
      </c>
      <c r="Q29" s="50">
        <f t="shared" ref="Q29:Q30" si="15">P29*N29</f>
        <v>0.46600000000000003</v>
      </c>
      <c r="R29" s="49"/>
      <c r="S29" s="56"/>
      <c r="U29"/>
      <c r="V29"/>
      <c r="W29"/>
    </row>
    <row r="30" spans="1:26" ht="24" x14ac:dyDescent="0.25">
      <c r="A30" s="1"/>
      <c r="B30" s="47">
        <f t="shared" ref="B30" si="16">ROW(B30) - ROW($B$9)</f>
        <v>21</v>
      </c>
      <c r="C30" s="52" t="s">
        <v>19</v>
      </c>
      <c r="D30" s="49" t="s">
        <v>214</v>
      </c>
      <c r="E30" s="49" t="s">
        <v>215</v>
      </c>
      <c r="F30" s="49" t="s">
        <v>158</v>
      </c>
      <c r="G30" s="49" t="s">
        <v>216</v>
      </c>
      <c r="H30" s="49" t="s">
        <v>217</v>
      </c>
      <c r="I30" s="49" t="s">
        <v>156</v>
      </c>
      <c r="J30" s="49" t="s">
        <v>218</v>
      </c>
      <c r="K30" s="49" t="s">
        <v>156</v>
      </c>
      <c r="L30" s="49">
        <v>3</v>
      </c>
      <c r="M30" s="49">
        <f>L30*2</f>
        <v>6</v>
      </c>
      <c r="N30" s="49">
        <v>10</v>
      </c>
      <c r="O30" s="64" t="s">
        <v>161</v>
      </c>
      <c r="P30" s="50">
        <v>7.1300000000000002E-2</v>
      </c>
      <c r="Q30" s="50">
        <f t="shared" si="15"/>
        <v>0.71300000000000008</v>
      </c>
      <c r="R30" s="49"/>
      <c r="S30" s="56"/>
      <c r="X30" s="59"/>
      <c r="Y30" s="59"/>
      <c r="Z30" s="59"/>
    </row>
    <row r="31" spans="1:26" s="59" customFormat="1" ht="24" x14ac:dyDescent="0.25">
      <c r="A31" s="57"/>
      <c r="B31" s="47">
        <f t="shared" si="6"/>
        <v>22</v>
      </c>
      <c r="C31" s="52" t="s">
        <v>20</v>
      </c>
      <c r="D31" s="60" t="s">
        <v>219</v>
      </c>
      <c r="E31" s="60" t="s">
        <v>55</v>
      </c>
      <c r="F31" s="60" t="s">
        <v>158</v>
      </c>
      <c r="G31" s="60" t="s">
        <v>156</v>
      </c>
      <c r="H31" s="60" t="s">
        <v>156</v>
      </c>
      <c r="I31" s="60" t="s">
        <v>156</v>
      </c>
      <c r="J31" s="60" t="s">
        <v>156</v>
      </c>
      <c r="K31" s="61" t="s">
        <v>156</v>
      </c>
      <c r="L31" s="60">
        <v>4</v>
      </c>
      <c r="M31" s="60">
        <f t="shared" si="1"/>
        <v>8</v>
      </c>
      <c r="N31" s="60">
        <v>20</v>
      </c>
      <c r="O31" s="60" t="s">
        <v>156</v>
      </c>
      <c r="P31" s="60" t="s">
        <v>156</v>
      </c>
      <c r="Q31" s="50" t="s">
        <v>156</v>
      </c>
      <c r="R31" s="65" t="s">
        <v>162</v>
      </c>
      <c r="S31" s="56"/>
      <c r="U31"/>
      <c r="V31"/>
      <c r="W31"/>
    </row>
    <row r="32" spans="1:26" s="59" customFormat="1" ht="36" x14ac:dyDescent="0.25">
      <c r="A32" s="57"/>
      <c r="B32" s="47">
        <f t="shared" si="6"/>
        <v>23</v>
      </c>
      <c r="C32" s="52" t="s">
        <v>21</v>
      </c>
      <c r="D32" s="70" t="s">
        <v>220</v>
      </c>
      <c r="E32" s="49" t="s">
        <v>56</v>
      </c>
      <c r="F32" s="49" t="s">
        <v>73</v>
      </c>
      <c r="G32" s="49" t="s">
        <v>92</v>
      </c>
      <c r="H32" s="49" t="s">
        <v>111</v>
      </c>
      <c r="I32" s="49" t="s">
        <v>156</v>
      </c>
      <c r="J32" s="49" t="s">
        <v>128</v>
      </c>
      <c r="K32" s="37" t="s">
        <v>156</v>
      </c>
      <c r="L32" s="49">
        <v>2</v>
      </c>
      <c r="M32" s="37">
        <f t="shared" si="1"/>
        <v>4</v>
      </c>
      <c r="N32" s="70">
        <v>10</v>
      </c>
      <c r="O32" s="64" t="s">
        <v>161</v>
      </c>
      <c r="P32" s="50">
        <v>4.6899999999999997E-2</v>
      </c>
      <c r="Q32" s="38">
        <f>P32*N32</f>
        <v>0.46899999999999997</v>
      </c>
      <c r="R32" s="37"/>
      <c r="S32" s="56"/>
      <c r="U32"/>
      <c r="V32"/>
      <c r="W32"/>
    </row>
    <row r="33" spans="1:26" s="59" customFormat="1" ht="48" x14ac:dyDescent="0.25">
      <c r="A33" s="57"/>
      <c r="B33" s="46">
        <f t="shared" si="6"/>
        <v>24</v>
      </c>
      <c r="C33" s="51" t="s">
        <v>21</v>
      </c>
      <c r="D33" s="37" t="s">
        <v>221</v>
      </c>
      <c r="E33" s="37" t="s">
        <v>57</v>
      </c>
      <c r="F33" s="37" t="s">
        <v>74</v>
      </c>
      <c r="G33" s="37" t="s">
        <v>93</v>
      </c>
      <c r="H33" s="37" t="s">
        <v>112</v>
      </c>
      <c r="I33" s="37" t="s">
        <v>156</v>
      </c>
      <c r="J33" s="37" t="s">
        <v>129</v>
      </c>
      <c r="K33" s="37" t="s">
        <v>156</v>
      </c>
      <c r="L33" s="37">
        <v>3</v>
      </c>
      <c r="M33" s="37">
        <f t="shared" si="1"/>
        <v>6</v>
      </c>
      <c r="N33" s="37">
        <v>20</v>
      </c>
      <c r="O33" s="63" t="s">
        <v>161</v>
      </c>
      <c r="P33" s="38">
        <v>3.2800000000000003E-2</v>
      </c>
      <c r="Q33" s="50">
        <f t="shared" ref="Q33:Q34" si="17">P33*N33</f>
        <v>0.65600000000000003</v>
      </c>
      <c r="R33" s="49"/>
      <c r="S33" s="56"/>
      <c r="U33"/>
      <c r="V33"/>
      <c r="W33"/>
    </row>
    <row r="34" spans="1:26" s="59" customFormat="1" x14ac:dyDescent="0.25">
      <c r="A34" s="57"/>
      <c r="B34" s="46">
        <f t="shared" si="6"/>
        <v>25</v>
      </c>
      <c r="C34" s="51" t="s">
        <v>21</v>
      </c>
      <c r="D34" s="37" t="s">
        <v>312</v>
      </c>
      <c r="E34" s="77" t="s">
        <v>324</v>
      </c>
      <c r="F34" s="37" t="s">
        <v>325</v>
      </c>
      <c r="G34" s="77" t="s">
        <v>317</v>
      </c>
      <c r="H34" s="37" t="s">
        <v>112</v>
      </c>
      <c r="I34" s="37" t="s">
        <v>156</v>
      </c>
      <c r="J34" s="37" t="s">
        <v>326</v>
      </c>
      <c r="K34" s="37" t="s">
        <v>156</v>
      </c>
      <c r="L34" s="37">
        <v>1</v>
      </c>
      <c r="M34" s="37">
        <f t="shared" si="1"/>
        <v>2</v>
      </c>
      <c r="N34" s="37">
        <v>20</v>
      </c>
      <c r="O34" s="63" t="s">
        <v>161</v>
      </c>
      <c r="P34" s="38">
        <v>3.4099999999999998E-2</v>
      </c>
      <c r="Q34" s="50">
        <f t="shared" si="17"/>
        <v>0.68199999999999994</v>
      </c>
      <c r="R34" s="49"/>
      <c r="S34" s="56"/>
      <c r="U34"/>
      <c r="V34"/>
      <c r="W34"/>
    </row>
    <row r="35" spans="1:26" s="59" customFormat="1" x14ac:dyDescent="0.25">
      <c r="A35" s="57"/>
      <c r="B35" s="46">
        <f>ROW(B35) - ROW($B$9)</f>
        <v>26</v>
      </c>
      <c r="C35" s="51" t="s">
        <v>22</v>
      </c>
      <c r="D35" s="49" t="s">
        <v>222</v>
      </c>
      <c r="E35" s="37" t="s">
        <v>61</v>
      </c>
      <c r="F35" s="37" t="s">
        <v>75</v>
      </c>
      <c r="G35" s="37" t="s">
        <v>97</v>
      </c>
      <c r="H35" s="37" t="s">
        <v>101</v>
      </c>
      <c r="I35" s="37" t="s">
        <v>156</v>
      </c>
      <c r="J35" s="37" t="s">
        <v>133</v>
      </c>
      <c r="K35" s="37" t="s">
        <v>147</v>
      </c>
      <c r="L35" s="37">
        <v>2</v>
      </c>
      <c r="M35" s="37">
        <f t="shared" ref="M35:M40" si="18">L35*2</f>
        <v>4</v>
      </c>
      <c r="N35" s="37">
        <v>100</v>
      </c>
      <c r="O35" s="63" t="s">
        <v>161</v>
      </c>
      <c r="P35" s="38">
        <v>1.1999999999999999E-3</v>
      </c>
      <c r="Q35" s="50">
        <f t="shared" ref="Q35" si="19">P35*N35</f>
        <v>0.12</v>
      </c>
      <c r="R35" s="49"/>
      <c r="S35" s="56"/>
      <c r="U35"/>
      <c r="V35"/>
      <c r="W35"/>
    </row>
    <row r="36" spans="1:26" x14ac:dyDescent="0.25">
      <c r="A36" s="1"/>
      <c r="B36" s="46">
        <f>ROW(B36) - ROW($B$9)</f>
        <v>27</v>
      </c>
      <c r="C36" s="51" t="s">
        <v>22</v>
      </c>
      <c r="D36" s="37" t="s">
        <v>223</v>
      </c>
      <c r="E36" s="37" t="s">
        <v>224</v>
      </c>
      <c r="F36" s="37" t="s">
        <v>75</v>
      </c>
      <c r="G36" s="37" t="s">
        <v>225</v>
      </c>
      <c r="H36" s="37" t="s">
        <v>101</v>
      </c>
      <c r="I36" s="37" t="s">
        <v>156</v>
      </c>
      <c r="J36" s="37" t="s">
        <v>226</v>
      </c>
      <c r="K36" s="37" t="s">
        <v>227</v>
      </c>
      <c r="L36" s="37">
        <v>1</v>
      </c>
      <c r="M36" s="37">
        <f t="shared" si="18"/>
        <v>2</v>
      </c>
      <c r="N36" s="37">
        <v>100</v>
      </c>
      <c r="O36" s="63" t="s">
        <v>161</v>
      </c>
      <c r="P36" s="38">
        <v>1.1999999999999999E-3</v>
      </c>
      <c r="Q36" s="38">
        <f>P36*N36</f>
        <v>0.12</v>
      </c>
      <c r="R36" s="37"/>
      <c r="S36" s="56"/>
      <c r="X36" s="59"/>
      <c r="Y36" s="59"/>
      <c r="Z36" s="59"/>
    </row>
    <row r="37" spans="1:26" x14ac:dyDescent="0.25">
      <c r="A37" s="1"/>
      <c r="B37" s="47">
        <f t="shared" ref="B37" si="20">ROW(B37) - ROW($B$9)</f>
        <v>28</v>
      </c>
      <c r="C37" s="52" t="s">
        <v>22</v>
      </c>
      <c r="D37" s="49" t="s">
        <v>228</v>
      </c>
      <c r="E37" s="49" t="s">
        <v>229</v>
      </c>
      <c r="F37" s="49" t="s">
        <v>75</v>
      </c>
      <c r="G37" s="49" t="s">
        <v>230</v>
      </c>
      <c r="H37" s="49" t="s">
        <v>101</v>
      </c>
      <c r="I37" s="49" t="s">
        <v>156</v>
      </c>
      <c r="J37" s="49" t="s">
        <v>231</v>
      </c>
      <c r="K37" s="49" t="s">
        <v>232</v>
      </c>
      <c r="L37" s="49">
        <v>1</v>
      </c>
      <c r="M37" s="49">
        <f t="shared" si="18"/>
        <v>2</v>
      </c>
      <c r="N37" s="49">
        <v>100</v>
      </c>
      <c r="O37" s="64" t="s">
        <v>161</v>
      </c>
      <c r="P37" s="50">
        <v>1.1000000000000001E-3</v>
      </c>
      <c r="Q37" s="50">
        <f t="shared" ref="Q37" si="21">P37*N37</f>
        <v>0.11</v>
      </c>
      <c r="R37" s="49"/>
      <c r="S37" s="56"/>
      <c r="X37" s="59"/>
      <c r="Y37" s="59"/>
      <c r="Z37" s="59"/>
    </row>
    <row r="38" spans="1:26" ht="24" x14ac:dyDescent="0.25">
      <c r="A38" s="1"/>
      <c r="B38" s="46">
        <f>ROW(B38) - ROW($B$9)</f>
        <v>29</v>
      </c>
      <c r="C38" s="51" t="s">
        <v>22</v>
      </c>
      <c r="D38" s="37" t="s">
        <v>234</v>
      </c>
      <c r="E38" s="37" t="s">
        <v>235</v>
      </c>
      <c r="F38" s="37" t="s">
        <v>75</v>
      </c>
      <c r="G38" s="37" t="s">
        <v>236</v>
      </c>
      <c r="H38" s="37" t="s">
        <v>237</v>
      </c>
      <c r="I38" s="37" t="s">
        <v>156</v>
      </c>
      <c r="J38" s="37" t="s">
        <v>238</v>
      </c>
      <c r="K38" s="37" t="s">
        <v>239</v>
      </c>
      <c r="L38" s="37">
        <v>1</v>
      </c>
      <c r="M38" s="37">
        <f t="shared" si="18"/>
        <v>2</v>
      </c>
      <c r="N38" s="37">
        <v>100</v>
      </c>
      <c r="O38" s="63" t="s">
        <v>161</v>
      </c>
      <c r="P38" s="38">
        <v>1E-3</v>
      </c>
      <c r="Q38" s="38">
        <f>P38*N38</f>
        <v>0.1</v>
      </c>
      <c r="R38" s="37"/>
      <c r="S38" s="56"/>
      <c r="X38" s="59"/>
      <c r="Y38" s="59"/>
      <c r="Z38" s="59"/>
    </row>
    <row r="39" spans="1:26" s="59" customFormat="1" ht="24" x14ac:dyDescent="0.25">
      <c r="A39" s="57"/>
      <c r="B39" s="46">
        <f t="shared" si="6"/>
        <v>30</v>
      </c>
      <c r="C39" s="52" t="s">
        <v>22</v>
      </c>
      <c r="D39" s="49" t="s">
        <v>233</v>
      </c>
      <c r="E39" s="37" t="s">
        <v>59</v>
      </c>
      <c r="F39" s="37" t="s">
        <v>75</v>
      </c>
      <c r="G39" s="37" t="s">
        <v>95</v>
      </c>
      <c r="H39" s="37" t="s">
        <v>101</v>
      </c>
      <c r="I39" s="37" t="s">
        <v>156</v>
      </c>
      <c r="J39" s="37" t="s">
        <v>131</v>
      </c>
      <c r="K39" s="37" t="s">
        <v>143</v>
      </c>
      <c r="L39" s="37">
        <v>8</v>
      </c>
      <c r="M39" s="37">
        <f t="shared" si="18"/>
        <v>16</v>
      </c>
      <c r="N39" s="37">
        <v>100</v>
      </c>
      <c r="O39" s="63" t="s">
        <v>161</v>
      </c>
      <c r="P39" s="38">
        <v>1E-3</v>
      </c>
      <c r="Q39" s="38">
        <f>P39*N39</f>
        <v>0.1</v>
      </c>
      <c r="R39" s="37"/>
      <c r="S39" s="56"/>
      <c r="U39"/>
      <c r="V39"/>
      <c r="W39"/>
    </row>
    <row r="40" spans="1:26" ht="24" x14ac:dyDescent="0.25">
      <c r="A40" s="1"/>
      <c r="B40" s="46">
        <f>ROW(B40) - ROW($B$9)</f>
        <v>31</v>
      </c>
      <c r="C40" s="51" t="s">
        <v>22</v>
      </c>
      <c r="D40" s="37" t="s">
        <v>240</v>
      </c>
      <c r="E40" s="37" t="s">
        <v>241</v>
      </c>
      <c r="F40" s="37" t="s">
        <v>242</v>
      </c>
      <c r="G40" s="37" t="s">
        <v>243</v>
      </c>
      <c r="H40" s="37" t="s">
        <v>244</v>
      </c>
      <c r="I40" s="37" t="s">
        <v>156</v>
      </c>
      <c r="J40" s="37" t="s">
        <v>245</v>
      </c>
      <c r="K40" s="37" t="s">
        <v>246</v>
      </c>
      <c r="L40" s="37">
        <v>1</v>
      </c>
      <c r="M40" s="37">
        <f t="shared" si="18"/>
        <v>2</v>
      </c>
      <c r="N40" s="37">
        <v>100</v>
      </c>
      <c r="O40" s="63" t="s">
        <v>161</v>
      </c>
      <c r="P40" s="38">
        <v>5.0000000000000001E-4</v>
      </c>
      <c r="Q40" s="38">
        <f>P40*N40</f>
        <v>0.05</v>
      </c>
      <c r="R40" s="37"/>
      <c r="S40" s="56"/>
      <c r="X40" s="59"/>
      <c r="Y40" s="59"/>
      <c r="Z40" s="59"/>
    </row>
    <row r="41" spans="1:26" x14ac:dyDescent="0.25">
      <c r="A41" s="1"/>
      <c r="B41" s="47">
        <f>ROW(B41) - ROW($B$9)</f>
        <v>32</v>
      </c>
      <c r="C41" s="52" t="s">
        <v>22</v>
      </c>
      <c r="D41" s="49" t="s">
        <v>294</v>
      </c>
      <c r="E41" s="49" t="s">
        <v>258</v>
      </c>
      <c r="F41" s="49" t="s">
        <v>75</v>
      </c>
      <c r="G41" s="49" t="s">
        <v>259</v>
      </c>
      <c r="H41" s="49" t="s">
        <v>101</v>
      </c>
      <c r="I41" s="49" t="s">
        <v>156</v>
      </c>
      <c r="J41" s="49" t="s">
        <v>260</v>
      </c>
      <c r="K41" s="49" t="s">
        <v>247</v>
      </c>
      <c r="L41" s="49">
        <v>3</v>
      </c>
      <c r="M41" s="49">
        <f>L41*2</f>
        <v>6</v>
      </c>
      <c r="N41" s="49">
        <v>20</v>
      </c>
      <c r="O41" s="64" t="s">
        <v>161</v>
      </c>
      <c r="P41" s="50">
        <v>2.98E-2</v>
      </c>
      <c r="Q41" s="50">
        <f t="shared" ref="Q41" si="22">P41*N41</f>
        <v>0.59599999999999997</v>
      </c>
      <c r="R41" s="49"/>
      <c r="S41" s="56"/>
      <c r="X41" s="59"/>
      <c r="Y41" s="59"/>
      <c r="Z41" s="59"/>
    </row>
    <row r="42" spans="1:26" x14ac:dyDescent="0.25">
      <c r="A42" s="1"/>
      <c r="B42" s="46">
        <f>ROW(B42) - ROW($B$9)</f>
        <v>33</v>
      </c>
      <c r="C42" s="52" t="s">
        <v>22</v>
      </c>
      <c r="D42" s="69" t="s">
        <v>293</v>
      </c>
      <c r="E42" s="37" t="s">
        <v>290</v>
      </c>
      <c r="F42" s="37" t="s">
        <v>75</v>
      </c>
      <c r="G42" s="37" t="s">
        <v>291</v>
      </c>
      <c r="H42" s="37" t="s">
        <v>101</v>
      </c>
      <c r="I42" s="37" t="s">
        <v>156</v>
      </c>
      <c r="J42" s="37" t="s">
        <v>292</v>
      </c>
      <c r="K42" s="37" t="s">
        <v>145</v>
      </c>
      <c r="L42" s="37">
        <v>3</v>
      </c>
      <c r="M42" s="37">
        <f>L42*2</f>
        <v>6</v>
      </c>
      <c r="N42" s="37">
        <v>100</v>
      </c>
      <c r="O42" s="63" t="s">
        <v>161</v>
      </c>
      <c r="P42" s="38">
        <v>1.1000000000000001E-3</v>
      </c>
      <c r="Q42" s="38">
        <f>P42*N42</f>
        <v>0.11</v>
      </c>
      <c r="R42" s="37"/>
      <c r="S42" s="56"/>
      <c r="X42" s="59"/>
      <c r="Y42" s="59"/>
      <c r="Z42" s="59"/>
    </row>
    <row r="43" spans="1:26" s="59" customFormat="1" x14ac:dyDescent="0.25">
      <c r="A43" s="57"/>
      <c r="B43" s="46">
        <f t="shared" si="6"/>
        <v>34</v>
      </c>
      <c r="C43" s="52" t="s">
        <v>22</v>
      </c>
      <c r="D43" s="49" t="s">
        <v>248</v>
      </c>
      <c r="E43" s="37" t="s">
        <v>60</v>
      </c>
      <c r="F43" s="37" t="s">
        <v>75</v>
      </c>
      <c r="G43" s="37" t="s">
        <v>96</v>
      </c>
      <c r="H43" s="37" t="s">
        <v>101</v>
      </c>
      <c r="I43" s="37" t="s">
        <v>156</v>
      </c>
      <c r="J43" s="37" t="s">
        <v>132</v>
      </c>
      <c r="K43" s="37" t="s">
        <v>146</v>
      </c>
      <c r="L43" s="37">
        <v>2</v>
      </c>
      <c r="M43" s="37">
        <f t="shared" si="1"/>
        <v>4</v>
      </c>
      <c r="N43" s="37">
        <v>100</v>
      </c>
      <c r="O43" s="63" t="s">
        <v>161</v>
      </c>
      <c r="P43" s="38">
        <v>1.1000000000000001E-3</v>
      </c>
      <c r="Q43" s="38">
        <f>P43*N43</f>
        <v>0.11</v>
      </c>
      <c r="R43" s="37"/>
      <c r="S43" s="56"/>
      <c r="U43"/>
      <c r="V43"/>
      <c r="W43"/>
    </row>
    <row r="44" spans="1:26" x14ac:dyDescent="0.25">
      <c r="A44" s="1"/>
      <c r="B44" s="47">
        <f t="shared" si="6"/>
        <v>35</v>
      </c>
      <c r="C44" s="52" t="s">
        <v>22</v>
      </c>
      <c r="D44" s="49" t="s">
        <v>249</v>
      </c>
      <c r="E44" s="49" t="s">
        <v>250</v>
      </c>
      <c r="F44" s="49" t="s">
        <v>75</v>
      </c>
      <c r="G44" s="49" t="s">
        <v>251</v>
      </c>
      <c r="H44" s="49" t="s">
        <v>101</v>
      </c>
      <c r="I44" s="49" t="s">
        <v>156</v>
      </c>
      <c r="J44" s="49" t="s">
        <v>252</v>
      </c>
      <c r="K44" s="49" t="s">
        <v>144</v>
      </c>
      <c r="L44" s="49">
        <v>2</v>
      </c>
      <c r="M44" s="49">
        <f>L44*2</f>
        <v>4</v>
      </c>
      <c r="N44" s="49">
        <v>100</v>
      </c>
      <c r="O44" s="64" t="s">
        <v>161</v>
      </c>
      <c r="P44" s="50">
        <v>1.2999999999999999E-3</v>
      </c>
      <c r="Q44" s="50">
        <f t="shared" ref="Q44" si="23">P44*N44</f>
        <v>0.13</v>
      </c>
      <c r="R44" s="49"/>
      <c r="S44" s="56"/>
      <c r="X44" s="59"/>
      <c r="Y44" s="59"/>
      <c r="Z44" s="59"/>
    </row>
    <row r="45" spans="1:26" x14ac:dyDescent="0.25">
      <c r="A45" s="1"/>
      <c r="B45" s="46">
        <f>ROW(B45) - ROW($B$9)</f>
        <v>36</v>
      </c>
      <c r="C45" s="51" t="s">
        <v>22</v>
      </c>
      <c r="D45" s="49" t="s">
        <v>313</v>
      </c>
      <c r="E45" s="37" t="s">
        <v>58</v>
      </c>
      <c r="F45" s="37" t="s">
        <v>75</v>
      </c>
      <c r="G45" s="37" t="s">
        <v>94</v>
      </c>
      <c r="H45" s="37" t="s">
        <v>101</v>
      </c>
      <c r="I45" s="37" t="s">
        <v>156</v>
      </c>
      <c r="J45" s="37" t="s">
        <v>130</v>
      </c>
      <c r="K45" s="37" t="s">
        <v>142</v>
      </c>
      <c r="L45" s="37">
        <v>4</v>
      </c>
      <c r="M45" s="37">
        <f>L45*2</f>
        <v>8</v>
      </c>
      <c r="N45" s="37">
        <v>100</v>
      </c>
      <c r="O45" s="63" t="s">
        <v>161</v>
      </c>
      <c r="P45" s="38">
        <v>1.1000000000000001E-3</v>
      </c>
      <c r="Q45" s="38">
        <f>P45*N45</f>
        <v>0.11</v>
      </c>
      <c r="R45" s="37"/>
      <c r="S45" s="56"/>
      <c r="X45" s="59"/>
      <c r="Y45" s="59"/>
      <c r="Z45" s="59"/>
    </row>
    <row r="46" spans="1:26" x14ac:dyDescent="0.25">
      <c r="A46" s="1"/>
      <c r="B46" s="46">
        <f t="shared" ref="B46:B47" si="24">ROW(B46) - ROW($B$9)</f>
        <v>37</v>
      </c>
      <c r="C46" s="51" t="s">
        <v>22</v>
      </c>
      <c r="D46" s="37" t="s">
        <v>314</v>
      </c>
      <c r="E46" s="77" t="s">
        <v>327</v>
      </c>
      <c r="F46" s="37" t="s">
        <v>242</v>
      </c>
      <c r="G46" s="79" t="s">
        <v>318</v>
      </c>
      <c r="H46" s="37" t="s">
        <v>328</v>
      </c>
      <c r="I46" s="37" t="s">
        <v>336</v>
      </c>
      <c r="J46" s="37" t="s">
        <v>337</v>
      </c>
      <c r="K46" s="77" t="s">
        <v>330</v>
      </c>
      <c r="L46" s="37">
        <v>4</v>
      </c>
      <c r="M46" s="37">
        <f>L46*2</f>
        <v>8</v>
      </c>
      <c r="N46" s="37">
        <v>20</v>
      </c>
      <c r="O46" s="63" t="s">
        <v>161</v>
      </c>
      <c r="P46" s="38">
        <v>2.4199999999999999E-2</v>
      </c>
      <c r="Q46" s="38">
        <f t="shared" ref="Q46:Q47" si="25">P46*N46</f>
        <v>0.48399999999999999</v>
      </c>
      <c r="R46" s="37"/>
      <c r="S46" s="56"/>
      <c r="X46" s="59"/>
      <c r="Y46" s="59"/>
      <c r="Z46" s="59"/>
    </row>
    <row r="47" spans="1:26" x14ac:dyDescent="0.25">
      <c r="A47" s="1"/>
      <c r="B47" s="46">
        <f t="shared" si="24"/>
        <v>38</v>
      </c>
      <c r="C47" s="51" t="s">
        <v>22</v>
      </c>
      <c r="D47" s="49" t="s">
        <v>315</v>
      </c>
      <c r="E47" s="78" t="s">
        <v>329</v>
      </c>
      <c r="F47" s="49" t="s">
        <v>242</v>
      </c>
      <c r="G47" s="78" t="s">
        <v>319</v>
      </c>
      <c r="H47" s="49" t="s">
        <v>101</v>
      </c>
      <c r="I47" s="37" t="s">
        <v>156</v>
      </c>
      <c r="J47" s="37" t="s">
        <v>331</v>
      </c>
      <c r="K47" s="78" t="s">
        <v>143</v>
      </c>
      <c r="L47" s="37">
        <v>2</v>
      </c>
      <c r="M47" s="37">
        <f>L47*2</f>
        <v>4</v>
      </c>
      <c r="N47" s="37">
        <v>100</v>
      </c>
      <c r="O47" s="63" t="s">
        <v>161</v>
      </c>
      <c r="P47" s="38">
        <v>5.9999999999999995E-4</v>
      </c>
      <c r="Q47" s="38">
        <f t="shared" si="25"/>
        <v>0.06</v>
      </c>
      <c r="R47" s="37"/>
      <c r="S47" s="56"/>
      <c r="X47" s="59"/>
      <c r="Y47" s="59"/>
      <c r="Z47" s="59"/>
    </row>
    <row r="48" spans="1:26" x14ac:dyDescent="0.25">
      <c r="A48" s="1"/>
      <c r="B48" s="46">
        <f>ROW(B48) - ROW($B$9)</f>
        <v>39</v>
      </c>
      <c r="C48" s="51" t="s">
        <v>22</v>
      </c>
      <c r="D48" s="37" t="s">
        <v>253</v>
      </c>
      <c r="E48" s="37" t="s">
        <v>254</v>
      </c>
      <c r="F48" s="37" t="s">
        <v>75</v>
      </c>
      <c r="G48" s="37" t="s">
        <v>255</v>
      </c>
      <c r="H48" s="37" t="s">
        <v>101</v>
      </c>
      <c r="I48" s="37" t="s">
        <v>156</v>
      </c>
      <c r="J48" s="37" t="s">
        <v>256</v>
      </c>
      <c r="K48" s="37" t="s">
        <v>257</v>
      </c>
      <c r="L48" s="37">
        <v>1</v>
      </c>
      <c r="M48" s="37">
        <f>L48*2</f>
        <v>2</v>
      </c>
      <c r="N48" s="37">
        <v>100</v>
      </c>
      <c r="O48" s="63" t="s">
        <v>161</v>
      </c>
      <c r="P48" s="38">
        <v>1.4E-3</v>
      </c>
      <c r="Q48" s="38">
        <f>P48*N48</f>
        <v>0.13999999999999999</v>
      </c>
      <c r="R48" s="37"/>
      <c r="S48" s="56"/>
      <c r="X48" s="59"/>
      <c r="Y48" s="59"/>
      <c r="Z48" s="59"/>
    </row>
    <row r="49" spans="1:26" s="59" customFormat="1" ht="24" x14ac:dyDescent="0.25">
      <c r="A49" s="57"/>
      <c r="B49" s="47">
        <f t="shared" si="6"/>
        <v>40</v>
      </c>
      <c r="C49" s="52" t="s">
        <v>23</v>
      </c>
      <c r="D49" s="61" t="s">
        <v>262</v>
      </c>
      <c r="E49" s="60" t="s">
        <v>62</v>
      </c>
      <c r="F49" s="60" t="s">
        <v>158</v>
      </c>
      <c r="G49" s="60" t="s">
        <v>23</v>
      </c>
      <c r="H49" s="60" t="s">
        <v>156</v>
      </c>
      <c r="I49" s="60" t="s">
        <v>156</v>
      </c>
      <c r="J49" s="60" t="s">
        <v>156</v>
      </c>
      <c r="K49" s="66" t="s">
        <v>156</v>
      </c>
      <c r="L49" s="60">
        <v>10</v>
      </c>
      <c r="M49" s="37">
        <f t="shared" si="1"/>
        <v>20</v>
      </c>
      <c r="N49" s="49" t="s">
        <v>156</v>
      </c>
      <c r="O49" s="60" t="s">
        <v>156</v>
      </c>
      <c r="P49" s="60" t="s">
        <v>156</v>
      </c>
      <c r="Q49" s="50" t="s">
        <v>156</v>
      </c>
      <c r="R49" s="49"/>
      <c r="S49" s="56"/>
      <c r="U49"/>
      <c r="V49"/>
      <c r="W49"/>
    </row>
    <row r="50" spans="1:26" s="59" customFormat="1" ht="48" x14ac:dyDescent="0.25">
      <c r="A50" s="57"/>
      <c r="B50" s="46">
        <f>ROW(B50) - ROW($B$9)</f>
        <v>41</v>
      </c>
      <c r="C50" s="51" t="s">
        <v>24</v>
      </c>
      <c r="D50" s="69" t="s">
        <v>261</v>
      </c>
      <c r="E50" s="37" t="s">
        <v>63</v>
      </c>
      <c r="F50" s="49" t="s">
        <v>158</v>
      </c>
      <c r="G50" s="37" t="s">
        <v>77</v>
      </c>
      <c r="H50" s="37" t="s">
        <v>113</v>
      </c>
      <c r="I50" s="37" t="s">
        <v>156</v>
      </c>
      <c r="J50" s="37" t="s">
        <v>134</v>
      </c>
      <c r="K50" s="49" t="s">
        <v>156</v>
      </c>
      <c r="L50" s="37">
        <v>1</v>
      </c>
      <c r="M50" s="37">
        <f t="shared" si="1"/>
        <v>2</v>
      </c>
      <c r="N50" s="37">
        <v>20</v>
      </c>
      <c r="O50" s="63" t="s">
        <v>161</v>
      </c>
      <c r="P50" s="38">
        <v>2.1499999999999998E-2</v>
      </c>
      <c r="Q50" s="74">
        <f>P50*N50</f>
        <v>0.42999999999999994</v>
      </c>
      <c r="R50" s="61"/>
      <c r="S50" s="62"/>
      <c r="U50"/>
      <c r="V50"/>
      <c r="W50"/>
    </row>
    <row r="51" spans="1:26" s="59" customFormat="1" x14ac:dyDescent="0.25">
      <c r="A51" s="57"/>
      <c r="B51" s="46">
        <f>ROW(B51) - ROW($B$9)</f>
        <v>42</v>
      </c>
      <c r="C51" s="51" t="s">
        <v>302</v>
      </c>
      <c r="D51" s="49" t="s">
        <v>301</v>
      </c>
      <c r="E51" s="78" t="s">
        <v>332</v>
      </c>
      <c r="F51" s="49" t="s">
        <v>158</v>
      </c>
      <c r="G51" s="78" t="s">
        <v>320</v>
      </c>
      <c r="H51" s="49" t="s">
        <v>333</v>
      </c>
      <c r="I51" s="37" t="s">
        <v>156</v>
      </c>
      <c r="J51" s="37" t="s">
        <v>156</v>
      </c>
      <c r="K51" s="37" t="s">
        <v>156</v>
      </c>
      <c r="L51" s="37">
        <v>4</v>
      </c>
      <c r="M51" s="37">
        <f t="shared" si="1"/>
        <v>8</v>
      </c>
      <c r="N51" s="37">
        <v>10</v>
      </c>
      <c r="O51" s="63" t="s">
        <v>341</v>
      </c>
      <c r="P51" s="38">
        <v>3.1840199999999999</v>
      </c>
      <c r="Q51" s="74">
        <f>P51*N51</f>
        <v>31.840199999999999</v>
      </c>
      <c r="R51" s="61"/>
      <c r="S51" s="62"/>
      <c r="U51"/>
      <c r="V51"/>
      <c r="W51"/>
    </row>
    <row r="52" spans="1:26" s="59" customFormat="1" ht="48" x14ac:dyDescent="0.25">
      <c r="A52" s="57"/>
      <c r="B52" s="46">
        <f>ROW(B52) - ROW($B$9)</f>
        <v>43</v>
      </c>
      <c r="C52" s="51" t="s">
        <v>24</v>
      </c>
      <c r="D52" s="69" t="s">
        <v>303</v>
      </c>
      <c r="E52" s="37" t="s">
        <v>64</v>
      </c>
      <c r="F52" s="49" t="s">
        <v>158</v>
      </c>
      <c r="G52" s="37" t="s">
        <v>98</v>
      </c>
      <c r="H52" s="37" t="s">
        <v>113</v>
      </c>
      <c r="I52" s="37" t="s">
        <v>156</v>
      </c>
      <c r="J52" s="37" t="s">
        <v>135</v>
      </c>
      <c r="K52" s="49" t="s">
        <v>156</v>
      </c>
      <c r="L52" s="37">
        <v>1</v>
      </c>
      <c r="M52" s="37">
        <f t="shared" si="1"/>
        <v>2</v>
      </c>
      <c r="N52" s="70">
        <v>10</v>
      </c>
      <c r="O52" s="63" t="s">
        <v>161</v>
      </c>
      <c r="P52" s="38">
        <v>4.2799999999999998E-2</v>
      </c>
      <c r="Q52" s="74">
        <f>P52*N52</f>
        <v>0.42799999999999999</v>
      </c>
      <c r="R52" s="49"/>
      <c r="S52" s="56"/>
      <c r="U52"/>
      <c r="V52"/>
      <c r="W52"/>
    </row>
    <row r="53" spans="1:26" ht="24" x14ac:dyDescent="0.25">
      <c r="A53" s="1"/>
      <c r="B53" s="47">
        <f t="shared" ref="B53:B55" si="26">ROW(B53) - ROW($B$9)</f>
        <v>44</v>
      </c>
      <c r="C53" s="52" t="s">
        <v>21</v>
      </c>
      <c r="D53" s="49" t="s">
        <v>36</v>
      </c>
      <c r="E53" s="49" t="s">
        <v>263</v>
      </c>
      <c r="F53" s="49" t="s">
        <v>264</v>
      </c>
      <c r="G53" s="49" t="s">
        <v>265</v>
      </c>
      <c r="H53" s="49" t="s">
        <v>266</v>
      </c>
      <c r="I53" s="49" t="s">
        <v>156</v>
      </c>
      <c r="J53" s="49" t="s">
        <v>267</v>
      </c>
      <c r="K53" s="49" t="s">
        <v>156</v>
      </c>
      <c r="L53" s="49">
        <v>1</v>
      </c>
      <c r="M53" s="49">
        <f>L53*2</f>
        <v>2</v>
      </c>
      <c r="N53" s="49">
        <v>5</v>
      </c>
      <c r="O53" s="64" t="s">
        <v>161</v>
      </c>
      <c r="P53" s="50">
        <v>0.17979999999999999</v>
      </c>
      <c r="Q53" s="50">
        <f t="shared" ref="Q53" si="27">P53*N53</f>
        <v>0.89899999999999991</v>
      </c>
      <c r="R53" s="49"/>
      <c r="S53" s="56"/>
      <c r="X53" s="59"/>
      <c r="Y53" s="59"/>
      <c r="Z53" s="59"/>
    </row>
    <row r="54" spans="1:26" ht="24" x14ac:dyDescent="0.25">
      <c r="A54" s="1"/>
      <c r="B54" s="46">
        <f>ROW(B54) - ROW($B$9)</f>
        <v>45</v>
      </c>
      <c r="C54" s="51" t="s">
        <v>25</v>
      </c>
      <c r="D54" s="37" t="s">
        <v>37</v>
      </c>
      <c r="E54" s="37" t="s">
        <v>268</v>
      </c>
      <c r="F54" s="37" t="s">
        <v>269</v>
      </c>
      <c r="G54" s="37" t="s">
        <v>270</v>
      </c>
      <c r="H54" s="37" t="s">
        <v>115</v>
      </c>
      <c r="I54" s="37" t="s">
        <v>156</v>
      </c>
      <c r="J54" s="37" t="s">
        <v>271</v>
      </c>
      <c r="K54" s="37" t="s">
        <v>156</v>
      </c>
      <c r="L54" s="37">
        <v>1</v>
      </c>
      <c r="M54" s="37">
        <f>L54*2</f>
        <v>2</v>
      </c>
      <c r="N54" s="37">
        <v>3</v>
      </c>
      <c r="O54" s="63" t="s">
        <v>161</v>
      </c>
      <c r="P54" s="38">
        <v>0.55530000000000002</v>
      </c>
      <c r="Q54" s="38">
        <f>P54*N54</f>
        <v>1.6659000000000002</v>
      </c>
      <c r="R54" s="37"/>
      <c r="S54" s="56"/>
      <c r="X54" s="59"/>
      <c r="Y54" s="59"/>
      <c r="Z54" s="59"/>
    </row>
    <row r="55" spans="1:26" ht="36" x14ac:dyDescent="0.25">
      <c r="A55" s="1"/>
      <c r="B55" s="47">
        <f t="shared" si="26"/>
        <v>46</v>
      </c>
      <c r="C55" s="52" t="s">
        <v>25</v>
      </c>
      <c r="D55" s="49" t="s">
        <v>38</v>
      </c>
      <c r="E55" s="49" t="s">
        <v>272</v>
      </c>
      <c r="F55" s="49" t="s">
        <v>273</v>
      </c>
      <c r="G55" s="49" t="s">
        <v>274</v>
      </c>
      <c r="H55" s="49" t="s">
        <v>115</v>
      </c>
      <c r="I55" s="49" t="s">
        <v>156</v>
      </c>
      <c r="J55" s="49" t="s">
        <v>275</v>
      </c>
      <c r="K55" s="49" t="s">
        <v>156</v>
      </c>
      <c r="L55" s="49">
        <v>1</v>
      </c>
      <c r="M55" s="49">
        <f>L55*2</f>
        <v>2</v>
      </c>
      <c r="N55" s="49">
        <v>3</v>
      </c>
      <c r="O55" s="64" t="s">
        <v>161</v>
      </c>
      <c r="P55" s="50">
        <v>0.63639999999999997</v>
      </c>
      <c r="Q55" s="50">
        <f t="shared" ref="Q55" si="28">P55*N55</f>
        <v>1.9091999999999998</v>
      </c>
      <c r="R55" s="49"/>
      <c r="S55" s="56"/>
      <c r="X55" s="59"/>
      <c r="Y55" s="59"/>
      <c r="Z55" s="59"/>
    </row>
    <row r="56" spans="1:26" s="59" customFormat="1" x14ac:dyDescent="0.25">
      <c r="A56" s="57"/>
      <c r="B56" s="47">
        <f t="shared" si="6"/>
        <v>47</v>
      </c>
      <c r="C56" s="52" t="s">
        <v>26</v>
      </c>
      <c r="D56" s="70" t="s">
        <v>39</v>
      </c>
      <c r="E56" s="49" t="s">
        <v>65</v>
      </c>
      <c r="F56" s="49" t="s">
        <v>79</v>
      </c>
      <c r="G56" s="49" t="s">
        <v>99</v>
      </c>
      <c r="H56" s="49" t="s">
        <v>116</v>
      </c>
      <c r="I56" s="49" t="s">
        <v>156</v>
      </c>
      <c r="J56" s="49" t="s">
        <v>136</v>
      </c>
      <c r="K56" s="49" t="s">
        <v>156</v>
      </c>
      <c r="L56" s="49">
        <v>1</v>
      </c>
      <c r="M56" s="37">
        <f t="shared" si="1"/>
        <v>2</v>
      </c>
      <c r="N56" s="37">
        <v>3</v>
      </c>
      <c r="O56" s="64" t="s">
        <v>161</v>
      </c>
      <c r="P56" s="50">
        <v>3.2519</v>
      </c>
      <c r="Q56" s="38">
        <f>P56*N56</f>
        <v>9.7557000000000009</v>
      </c>
      <c r="R56" s="37"/>
      <c r="S56" s="56"/>
      <c r="U56"/>
      <c r="V56"/>
      <c r="W56"/>
    </row>
    <row r="57" spans="1:26" ht="24" x14ac:dyDescent="0.25">
      <c r="A57" s="1"/>
      <c r="B57" s="47">
        <f t="shared" si="6"/>
        <v>48</v>
      </c>
      <c r="C57" s="52" t="s">
        <v>25</v>
      </c>
      <c r="D57" s="49" t="s">
        <v>40</v>
      </c>
      <c r="E57" s="49" t="s">
        <v>167</v>
      </c>
      <c r="F57" s="49" t="s">
        <v>78</v>
      </c>
      <c r="G57" s="49" t="s">
        <v>168</v>
      </c>
      <c r="H57" s="49" t="s">
        <v>169</v>
      </c>
      <c r="I57" s="49" t="s">
        <v>156</v>
      </c>
      <c r="J57" s="49" t="s">
        <v>170</v>
      </c>
      <c r="K57" s="49" t="s">
        <v>156</v>
      </c>
      <c r="L57" s="49">
        <v>1</v>
      </c>
      <c r="M57" s="49">
        <f>L57*2</f>
        <v>2</v>
      </c>
      <c r="N57" s="49">
        <v>5</v>
      </c>
      <c r="O57" s="64" t="s">
        <v>161</v>
      </c>
      <c r="P57" s="50">
        <v>0.16209999999999999</v>
      </c>
      <c r="Q57" s="50">
        <f t="shared" ref="Q57" si="29">P57*N57</f>
        <v>0.8105</v>
      </c>
      <c r="R57" s="49"/>
      <c r="S57" s="56"/>
      <c r="X57" s="59"/>
      <c r="Y57" s="59"/>
      <c r="Z57" s="59"/>
    </row>
    <row r="58" spans="1:26" x14ac:dyDescent="0.25">
      <c r="A58" s="1"/>
      <c r="B58" s="46">
        <f>ROW(B58) - ROW($B$9)</f>
        <v>49</v>
      </c>
      <c r="C58" s="51" t="s">
        <v>25</v>
      </c>
      <c r="D58" s="37" t="s">
        <v>41</v>
      </c>
      <c r="E58" s="37" t="s">
        <v>276</v>
      </c>
      <c r="F58" s="37" t="s">
        <v>277</v>
      </c>
      <c r="G58" s="37" t="s">
        <v>278</v>
      </c>
      <c r="H58" s="37" t="s">
        <v>279</v>
      </c>
      <c r="I58" s="37" t="s">
        <v>156</v>
      </c>
      <c r="J58" s="37" t="s">
        <v>280</v>
      </c>
      <c r="K58" s="37" t="s">
        <v>156</v>
      </c>
      <c r="L58" s="37">
        <v>1</v>
      </c>
      <c r="M58" s="37">
        <f>L58*2</f>
        <v>2</v>
      </c>
      <c r="N58" s="37">
        <v>3</v>
      </c>
      <c r="O58" s="63" t="s">
        <v>161</v>
      </c>
      <c r="P58" s="38">
        <v>1.2776000000000001</v>
      </c>
      <c r="Q58" s="38">
        <f>P58*N58</f>
        <v>3.8328000000000002</v>
      </c>
      <c r="R58" s="37"/>
      <c r="S58" s="56"/>
      <c r="X58" s="59"/>
      <c r="Y58" s="59"/>
      <c r="Z58" s="59"/>
    </row>
    <row r="59" spans="1:26" ht="24" x14ac:dyDescent="0.25">
      <c r="A59" s="1"/>
      <c r="B59" s="47">
        <f t="shared" si="6"/>
        <v>50</v>
      </c>
      <c r="C59" s="52" t="s">
        <v>25</v>
      </c>
      <c r="D59" s="49" t="s">
        <v>174</v>
      </c>
      <c r="E59" s="49" t="s">
        <v>281</v>
      </c>
      <c r="F59" s="49" t="s">
        <v>282</v>
      </c>
      <c r="G59" s="49" t="s">
        <v>283</v>
      </c>
      <c r="H59" s="49" t="s">
        <v>114</v>
      </c>
      <c r="I59" s="49" t="s">
        <v>156</v>
      </c>
      <c r="J59" s="49" t="s">
        <v>284</v>
      </c>
      <c r="K59" s="49" t="s">
        <v>156</v>
      </c>
      <c r="L59" s="49">
        <v>1</v>
      </c>
      <c r="M59" s="49">
        <f>L59*2</f>
        <v>2</v>
      </c>
      <c r="N59" s="49">
        <v>3</v>
      </c>
      <c r="O59" s="64" t="s">
        <v>161</v>
      </c>
      <c r="P59" s="50">
        <v>0.11070000000000001</v>
      </c>
      <c r="Q59" s="50">
        <f t="shared" ref="Q59" si="30">P59*N59</f>
        <v>0.33210000000000001</v>
      </c>
      <c r="R59" s="49"/>
      <c r="S59" s="56"/>
      <c r="X59" s="59"/>
      <c r="Y59" s="59"/>
      <c r="Z59" s="59"/>
    </row>
    <row r="60" spans="1:26" ht="15.75" thickBot="1" x14ac:dyDescent="0.3">
      <c r="A60" s="1"/>
      <c r="B60" s="46">
        <f>ROW(B60) - ROW($B$9)</f>
        <v>51</v>
      </c>
      <c r="C60" s="51" t="s">
        <v>25</v>
      </c>
      <c r="D60" s="37" t="s">
        <v>285</v>
      </c>
      <c r="E60" s="37" t="s">
        <v>286</v>
      </c>
      <c r="F60" s="37" t="s">
        <v>287</v>
      </c>
      <c r="G60" s="37" t="s">
        <v>288</v>
      </c>
      <c r="H60" s="37" t="s">
        <v>279</v>
      </c>
      <c r="I60" s="37" t="s">
        <v>156</v>
      </c>
      <c r="J60" s="37" t="s">
        <v>289</v>
      </c>
      <c r="K60" s="37" t="s">
        <v>156</v>
      </c>
      <c r="L60" s="37">
        <v>1</v>
      </c>
      <c r="M60" s="37">
        <f>L60*2</f>
        <v>2</v>
      </c>
      <c r="N60" s="37">
        <v>3</v>
      </c>
      <c r="O60" s="63" t="s">
        <v>161</v>
      </c>
      <c r="P60" s="38">
        <v>0.84799999999999998</v>
      </c>
      <c r="Q60" s="38">
        <f>P60*N60</f>
        <v>2.544</v>
      </c>
      <c r="R60" s="37"/>
      <c r="S60" s="39"/>
      <c r="X60" s="59"/>
      <c r="Y60" s="59"/>
      <c r="Z60" s="59"/>
    </row>
    <row r="61" spans="1:26" x14ac:dyDescent="0.25">
      <c r="A61" s="1"/>
      <c r="B61" s="46">
        <v>52</v>
      </c>
      <c r="C61" s="51" t="s">
        <v>309</v>
      </c>
      <c r="D61" s="37" t="s">
        <v>172</v>
      </c>
      <c r="E61" s="37" t="s">
        <v>339</v>
      </c>
      <c r="F61" s="37" t="s">
        <v>156</v>
      </c>
      <c r="G61" s="37" t="s">
        <v>310</v>
      </c>
      <c r="H61" s="37"/>
      <c r="I61" s="37"/>
      <c r="J61" s="37" t="s">
        <v>340</v>
      </c>
      <c r="K61" s="37" t="s">
        <v>156</v>
      </c>
      <c r="L61" s="37">
        <v>1</v>
      </c>
      <c r="M61" s="37">
        <f>L61*2</f>
        <v>2</v>
      </c>
      <c r="N61" s="37">
        <v>3</v>
      </c>
      <c r="O61" s="63" t="s">
        <v>161</v>
      </c>
      <c r="P61" s="38">
        <v>1.9028</v>
      </c>
      <c r="Q61" s="38">
        <f>P61*N61</f>
        <v>5.7084000000000001</v>
      </c>
      <c r="R61" s="37"/>
      <c r="S61" s="56"/>
      <c r="X61" s="59"/>
      <c r="Y61" s="59"/>
      <c r="Z61" s="59"/>
    </row>
    <row r="62" spans="1:26" s="59" customFormat="1" ht="48" x14ac:dyDescent="0.25">
      <c r="A62" s="57"/>
      <c r="B62" s="47">
        <f t="shared" si="6"/>
        <v>53</v>
      </c>
      <c r="C62" s="51" t="s">
        <v>171</v>
      </c>
      <c r="D62" s="37" t="s">
        <v>172</v>
      </c>
      <c r="E62" s="37" t="s">
        <v>334</v>
      </c>
      <c r="F62" s="49" t="s">
        <v>156</v>
      </c>
      <c r="G62" s="49" t="s">
        <v>156</v>
      </c>
      <c r="H62" s="49" t="s">
        <v>156</v>
      </c>
      <c r="I62" s="49" t="s">
        <v>156</v>
      </c>
      <c r="J62" s="49" t="s">
        <v>156</v>
      </c>
      <c r="K62" s="49" t="s">
        <v>156</v>
      </c>
      <c r="L62" s="49">
        <v>1</v>
      </c>
      <c r="M62" s="37">
        <f t="shared" ref="M62:M63" si="31">L62*2</f>
        <v>2</v>
      </c>
      <c r="N62" s="49">
        <v>2</v>
      </c>
      <c r="O62" s="63" t="s">
        <v>173</v>
      </c>
      <c r="P62" s="50">
        <v>8.33</v>
      </c>
      <c r="Q62" s="50">
        <f t="shared" ref="Q62:Q63" si="32">P62*N62</f>
        <v>16.66</v>
      </c>
      <c r="R62" s="49"/>
      <c r="S62" s="56"/>
      <c r="U62"/>
      <c r="V62"/>
      <c r="W62"/>
    </row>
    <row r="63" spans="1:26" s="59" customFormat="1" ht="60.75" thickBot="1" x14ac:dyDescent="0.3">
      <c r="A63" s="57"/>
      <c r="B63" s="47">
        <f t="shared" si="6"/>
        <v>54</v>
      </c>
      <c r="C63" s="51" t="s">
        <v>335</v>
      </c>
      <c r="D63" s="37" t="s">
        <v>172</v>
      </c>
      <c r="E63" s="37" t="s">
        <v>338</v>
      </c>
      <c r="F63" s="49" t="s">
        <v>156</v>
      </c>
      <c r="G63" s="49" t="s">
        <v>156</v>
      </c>
      <c r="H63" s="49" t="s">
        <v>156</v>
      </c>
      <c r="I63" s="49" t="s">
        <v>156</v>
      </c>
      <c r="J63" s="49" t="s">
        <v>156</v>
      </c>
      <c r="K63" s="49"/>
      <c r="L63" s="49">
        <v>1</v>
      </c>
      <c r="M63" s="37">
        <f t="shared" si="31"/>
        <v>2</v>
      </c>
      <c r="N63" s="49">
        <v>2</v>
      </c>
      <c r="O63" s="63" t="s">
        <v>173</v>
      </c>
      <c r="P63" s="50">
        <v>0.66</v>
      </c>
      <c r="Q63" s="50">
        <f t="shared" si="32"/>
        <v>1.32</v>
      </c>
      <c r="R63" s="49"/>
      <c r="S63" s="56"/>
      <c r="U63"/>
      <c r="V63"/>
      <c r="W63"/>
    </row>
    <row r="64" spans="1:26" ht="19.5" thickBot="1" x14ac:dyDescent="0.3">
      <c r="B64" s="40"/>
      <c r="C64" s="41"/>
      <c r="D64" s="42"/>
      <c r="E64" s="43"/>
      <c r="F64" s="44"/>
      <c r="G64" s="45"/>
      <c r="H64" s="44"/>
      <c r="I64" s="45"/>
      <c r="J64" s="44"/>
      <c r="K64" s="45"/>
      <c r="L64" s="45"/>
      <c r="M64" s="45"/>
      <c r="N64" s="80" t="s">
        <v>5</v>
      </c>
      <c r="O64" s="81"/>
      <c r="P64" s="81"/>
      <c r="Q64" s="48">
        <f>SUM(Q10:Q63)</f>
        <v>95.756299999999982</v>
      </c>
      <c r="R64" s="82"/>
      <c r="S64" s="83"/>
    </row>
    <row r="65" spans="2:19" ht="19.5" thickBot="1" x14ac:dyDescent="0.3">
      <c r="B65" s="25"/>
      <c r="C65" s="36"/>
      <c r="D65" s="9"/>
      <c r="E65" s="10"/>
      <c r="F65" s="10"/>
      <c r="G65" s="10"/>
      <c r="H65" s="10"/>
      <c r="I65" s="10"/>
      <c r="J65" s="10"/>
      <c r="K65" s="10"/>
      <c r="L65" s="10"/>
      <c r="M65" s="10"/>
      <c r="N65" s="80" t="s">
        <v>6</v>
      </c>
      <c r="O65" s="81"/>
      <c r="P65" s="81"/>
      <c r="Q65" s="48">
        <f>Q64/2</f>
        <v>47.878149999999991</v>
      </c>
      <c r="R65" s="84"/>
      <c r="S65" s="85"/>
    </row>
    <row r="75" spans="2:19" x14ac:dyDescent="0.25">
      <c r="Q75" s="68"/>
    </row>
  </sheetData>
  <mergeCells count="5">
    <mergeCell ref="N64:P64"/>
    <mergeCell ref="R64:S65"/>
    <mergeCell ref="N65:P65"/>
    <mergeCell ref="K1:S1"/>
    <mergeCell ref="S3:S8"/>
  </mergeCells>
  <hyperlinks>
    <hyperlink ref="O12" r:id="rId1"/>
    <hyperlink ref="O15" r:id="rId2"/>
    <hyperlink ref="O10" r:id="rId3"/>
    <hyperlink ref="O11" r:id="rId4"/>
    <hyperlink ref="O18" r:id="rId5"/>
    <hyperlink ref="O23" r:id="rId6"/>
    <hyperlink ref="O22" r:id="rId7"/>
    <hyperlink ref="O24" r:id="rId8"/>
    <hyperlink ref="O28" r:id="rId9"/>
    <hyperlink ref="O29" r:id="rId10"/>
    <hyperlink ref="O32" r:id="rId11"/>
    <hyperlink ref="O33" r:id="rId12"/>
    <hyperlink ref="O39" r:id="rId13"/>
    <hyperlink ref="O43" r:id="rId14"/>
    <hyperlink ref="O35" r:id="rId15"/>
    <hyperlink ref="O50" r:id="rId16"/>
    <hyperlink ref="O52" r:id="rId17"/>
    <hyperlink ref="O56" r:id="rId18"/>
    <hyperlink ref="O14" r:id="rId19"/>
    <hyperlink ref="O16" r:id="rId20"/>
    <hyperlink ref="O17" r:id="rId21"/>
    <hyperlink ref="O19" r:id="rId22"/>
    <hyperlink ref="O21" r:id="rId23"/>
    <hyperlink ref="O26" r:id="rId24"/>
    <hyperlink ref="O27" r:id="rId25"/>
    <hyperlink ref="O30" r:id="rId26"/>
    <hyperlink ref="O36" r:id="rId27"/>
    <hyperlink ref="O37" r:id="rId28"/>
    <hyperlink ref="O38" r:id="rId29"/>
    <hyperlink ref="O40" r:id="rId30"/>
    <hyperlink ref="O42" r:id="rId31"/>
    <hyperlink ref="O44" r:id="rId32"/>
    <hyperlink ref="O45" r:id="rId33"/>
    <hyperlink ref="O48" r:id="rId34"/>
    <hyperlink ref="O41" r:id="rId35"/>
    <hyperlink ref="O53" r:id="rId36"/>
    <hyperlink ref="O54" r:id="rId37"/>
    <hyperlink ref="O55" r:id="rId38"/>
    <hyperlink ref="O57" r:id="rId39"/>
    <hyperlink ref="O58" r:id="rId40"/>
    <hyperlink ref="O59" r:id="rId41"/>
    <hyperlink ref="O60" r:id="rId42"/>
    <hyperlink ref="O25" r:id="rId43"/>
    <hyperlink ref="O20" r:id="rId44"/>
    <hyperlink ref="O34" r:id="rId45"/>
    <hyperlink ref="O47" r:id="rId46"/>
    <hyperlink ref="O62" r:id="rId47"/>
    <hyperlink ref="O63" r:id="rId48"/>
    <hyperlink ref="O46" r:id="rId49"/>
    <hyperlink ref="O61" r:id="rId50"/>
    <hyperlink ref="O51" r:id="rId51"/>
  </hyperlinks>
  <pageMargins left="0.7" right="0.7" top="0.75" bottom="0.75" header="0.3" footer="0.3"/>
  <pageSetup orientation="portrait" r:id="rId52"/>
  <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77"/>
  <sheetViews>
    <sheetView topLeftCell="D49" workbookViewId="0">
      <selection activeCell="O51" sqref="O51:P51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32.285156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0.5703125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86"/>
      <c r="L1" s="86"/>
      <c r="M1" s="86"/>
      <c r="N1" s="86"/>
      <c r="O1" s="86"/>
      <c r="P1" s="86"/>
      <c r="Q1" s="86"/>
      <c r="R1" s="86"/>
      <c r="S1" s="87"/>
    </row>
    <row r="2" spans="1:19" ht="32.25" thickBot="1" x14ac:dyDescent="0.3">
      <c r="A2" s="1"/>
      <c r="B2" s="21"/>
      <c r="C2" s="31"/>
      <c r="D2" s="11" t="s">
        <v>0</v>
      </c>
      <c r="E2" s="11"/>
      <c r="F2" s="53" t="s">
        <v>159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4" t="s">
        <v>160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8"/>
    </row>
    <row r="4" spans="1:19" x14ac:dyDescent="0.25">
      <c r="A4" s="1"/>
      <c r="B4" s="22"/>
      <c r="C4" s="32"/>
      <c r="D4" s="13" t="s">
        <v>2</v>
      </c>
      <c r="E4" s="13"/>
      <c r="F4" s="54" t="s">
        <v>160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9"/>
    </row>
    <row r="5" spans="1:19" x14ac:dyDescent="0.25">
      <c r="A5" s="1"/>
      <c r="B5" s="22"/>
      <c r="C5" s="32"/>
      <c r="D5" s="13" t="s">
        <v>3</v>
      </c>
      <c r="E5" s="13"/>
      <c r="F5" s="55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9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9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9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9"/>
    </row>
    <row r="9" spans="1:19" ht="15.75" thickBot="1" x14ac:dyDescent="0.3">
      <c r="A9" s="1"/>
      <c r="B9" s="30" t="s">
        <v>4</v>
      </c>
      <c r="C9" s="30" t="s">
        <v>8</v>
      </c>
      <c r="D9" s="30" t="s">
        <v>27</v>
      </c>
      <c r="E9" s="30" t="s">
        <v>42</v>
      </c>
      <c r="F9" s="30" t="s">
        <v>66</v>
      </c>
      <c r="G9" s="30" t="s">
        <v>80</v>
      </c>
      <c r="H9" s="30" t="s">
        <v>100</v>
      </c>
      <c r="I9" s="30" t="s">
        <v>149</v>
      </c>
      <c r="J9" s="30" t="s">
        <v>117</v>
      </c>
      <c r="K9" s="30" t="s">
        <v>157</v>
      </c>
      <c r="L9" s="30" t="s">
        <v>148</v>
      </c>
      <c r="M9" s="30" t="s">
        <v>150</v>
      </c>
      <c r="N9" s="30" t="s">
        <v>151</v>
      </c>
      <c r="O9" s="30" t="s">
        <v>152</v>
      </c>
      <c r="P9" s="30" t="s">
        <v>304</v>
      </c>
      <c r="Q9" s="30" t="s">
        <v>153</v>
      </c>
      <c r="R9" s="30" t="s">
        <v>154</v>
      </c>
      <c r="S9" s="30" t="s">
        <v>155</v>
      </c>
    </row>
    <row r="10" spans="1:19" s="59" customFormat="1" x14ac:dyDescent="0.25">
      <c r="A10" s="57"/>
      <c r="B10" s="47">
        <f t="shared" ref="B10:B63" si="0">ROW(B10) - ROW($B$9)</f>
        <v>1</v>
      </c>
      <c r="C10" s="51" t="s">
        <v>9</v>
      </c>
      <c r="D10" s="37" t="s">
        <v>298</v>
      </c>
      <c r="E10" s="49" t="s">
        <v>46</v>
      </c>
      <c r="F10" s="49" t="s">
        <v>68</v>
      </c>
      <c r="G10" s="49" t="s">
        <v>84</v>
      </c>
      <c r="H10" s="49" t="s">
        <v>101</v>
      </c>
      <c r="I10" s="49" t="s">
        <v>156</v>
      </c>
      <c r="J10" s="49" t="s">
        <v>121</v>
      </c>
      <c r="K10" s="49" t="s">
        <v>141</v>
      </c>
      <c r="L10" s="37">
        <v>6</v>
      </c>
      <c r="M10" s="37">
        <f>L10*5</f>
        <v>30</v>
      </c>
      <c r="N10" s="37">
        <v>40</v>
      </c>
      <c r="O10" s="64" t="s">
        <v>161</v>
      </c>
      <c r="P10" s="50">
        <v>3.9300000000000002E-2</v>
      </c>
      <c r="Q10" s="38">
        <f>P10*N10</f>
        <v>1.5720000000000001</v>
      </c>
      <c r="R10" s="37"/>
      <c r="S10" s="58"/>
    </row>
    <row r="11" spans="1:19" s="59" customFormat="1" ht="24" x14ac:dyDescent="0.25">
      <c r="A11" s="57"/>
      <c r="B11" s="47">
        <f>ROW(B11) - ROW($B$9)</f>
        <v>2</v>
      </c>
      <c r="C11" s="52" t="s">
        <v>9</v>
      </c>
      <c r="D11" s="49" t="s">
        <v>295</v>
      </c>
      <c r="E11" s="49" t="s">
        <v>47</v>
      </c>
      <c r="F11" s="49" t="s">
        <v>69</v>
      </c>
      <c r="G11" s="49" t="s">
        <v>85</v>
      </c>
      <c r="H11" s="49" t="s">
        <v>101</v>
      </c>
      <c r="I11" s="49" t="s">
        <v>156</v>
      </c>
      <c r="J11" s="49" t="s">
        <v>122</v>
      </c>
      <c r="K11" s="49" t="s">
        <v>140</v>
      </c>
      <c r="L11" s="49">
        <v>15</v>
      </c>
      <c r="M11" s="37">
        <f>L11*5</f>
        <v>75</v>
      </c>
      <c r="N11" s="49">
        <v>100</v>
      </c>
      <c r="O11" s="64" t="s">
        <v>161</v>
      </c>
      <c r="P11" s="50">
        <v>1.9E-3</v>
      </c>
      <c r="Q11" s="50">
        <f t="shared" ref="Q11" si="1">P11*N11</f>
        <v>0.19</v>
      </c>
      <c r="R11" s="49"/>
      <c r="S11" s="56"/>
    </row>
    <row r="12" spans="1:19" s="59" customFormat="1" x14ac:dyDescent="0.25">
      <c r="A12" s="57"/>
      <c r="B12" s="46">
        <f>ROW(B12) - ROW($B$9)</f>
        <v>3</v>
      </c>
      <c r="C12" s="51" t="s">
        <v>9</v>
      </c>
      <c r="D12" s="37" t="s">
        <v>296</v>
      </c>
      <c r="E12" s="37" t="s">
        <v>43</v>
      </c>
      <c r="F12" s="37" t="s">
        <v>67</v>
      </c>
      <c r="G12" s="37" t="s">
        <v>81</v>
      </c>
      <c r="H12" s="37" t="s">
        <v>101</v>
      </c>
      <c r="I12" s="37" t="s">
        <v>156</v>
      </c>
      <c r="J12" s="37" t="s">
        <v>118</v>
      </c>
      <c r="K12" s="37" t="s">
        <v>137</v>
      </c>
      <c r="L12" s="37">
        <v>4</v>
      </c>
      <c r="M12" s="37">
        <f t="shared" ref="M12:M63" si="2">L12*5</f>
        <v>20</v>
      </c>
      <c r="N12" s="37">
        <v>50</v>
      </c>
      <c r="O12" s="63" t="s">
        <v>161</v>
      </c>
      <c r="P12" s="38">
        <v>1.5599999999999999E-2</v>
      </c>
      <c r="Q12" s="38">
        <f>P12*N12</f>
        <v>0.77999999999999992</v>
      </c>
      <c r="R12" s="37"/>
      <c r="S12" s="56"/>
    </row>
    <row r="13" spans="1:19" s="59" customFormat="1" x14ac:dyDescent="0.25">
      <c r="A13" s="57"/>
      <c r="B13" s="47">
        <f t="shared" ref="B13" si="3">ROW(B13) - ROW($B$9)</f>
        <v>4</v>
      </c>
      <c r="C13" s="51" t="s">
        <v>9</v>
      </c>
      <c r="D13" s="49" t="s">
        <v>166</v>
      </c>
      <c r="E13" s="49" t="s">
        <v>177</v>
      </c>
      <c r="F13" s="49" t="s">
        <v>69</v>
      </c>
      <c r="G13" s="49" t="s">
        <v>178</v>
      </c>
      <c r="H13" s="49" t="s">
        <v>101</v>
      </c>
      <c r="I13" s="49" t="s">
        <v>156</v>
      </c>
      <c r="J13" s="49" t="s">
        <v>179</v>
      </c>
      <c r="K13" s="49" t="s">
        <v>180</v>
      </c>
      <c r="L13" s="49">
        <v>2</v>
      </c>
      <c r="M13" s="37">
        <f t="shared" si="2"/>
        <v>10</v>
      </c>
      <c r="N13" s="37">
        <v>100</v>
      </c>
      <c r="O13" s="64" t="s">
        <v>161</v>
      </c>
      <c r="P13" s="50">
        <v>2.7000000000000001E-3</v>
      </c>
      <c r="Q13" s="38">
        <f>P13*N13</f>
        <v>0.27</v>
      </c>
      <c r="R13" s="37"/>
      <c r="S13" s="56"/>
    </row>
    <row r="14" spans="1:19" s="59" customFormat="1" x14ac:dyDescent="0.25">
      <c r="A14" s="57"/>
      <c r="B14" s="47">
        <f t="shared" si="0"/>
        <v>5</v>
      </c>
      <c r="C14" s="51" t="s">
        <v>9</v>
      </c>
      <c r="D14" s="37" t="s">
        <v>175</v>
      </c>
      <c r="E14" s="49" t="s">
        <v>45</v>
      </c>
      <c r="F14" s="49" t="s">
        <v>67</v>
      </c>
      <c r="G14" s="49" t="s">
        <v>83</v>
      </c>
      <c r="H14" s="49" t="s">
        <v>101</v>
      </c>
      <c r="I14" s="49" t="s">
        <v>156</v>
      </c>
      <c r="J14" s="49" t="s">
        <v>120</v>
      </c>
      <c r="K14" s="49" t="s">
        <v>139</v>
      </c>
      <c r="L14" s="49">
        <v>5</v>
      </c>
      <c r="M14" s="37">
        <f t="shared" si="2"/>
        <v>25</v>
      </c>
      <c r="N14" s="49">
        <v>100</v>
      </c>
      <c r="O14" s="64" t="s">
        <v>161</v>
      </c>
      <c r="P14" s="50">
        <v>5.1999999999999998E-3</v>
      </c>
      <c r="Q14" s="50">
        <f t="shared" ref="Q14" si="4">P14*N14</f>
        <v>0.52</v>
      </c>
      <c r="R14" s="49"/>
      <c r="S14" s="56"/>
    </row>
    <row r="15" spans="1:19" s="59" customFormat="1" x14ac:dyDescent="0.25">
      <c r="A15" s="57"/>
      <c r="B15" s="47">
        <f t="shared" si="0"/>
        <v>6</v>
      </c>
      <c r="C15" s="51" t="s">
        <v>9</v>
      </c>
      <c r="D15" s="37" t="s">
        <v>297</v>
      </c>
      <c r="E15" s="49" t="s">
        <v>44</v>
      </c>
      <c r="F15" s="49" t="s">
        <v>67</v>
      </c>
      <c r="G15" s="49" t="s">
        <v>82</v>
      </c>
      <c r="H15" s="49" t="s">
        <v>101</v>
      </c>
      <c r="I15" s="49" t="s">
        <v>156</v>
      </c>
      <c r="J15" s="49" t="s">
        <v>119</v>
      </c>
      <c r="K15" s="49" t="s">
        <v>138</v>
      </c>
      <c r="L15" s="49">
        <v>4</v>
      </c>
      <c r="M15" s="37">
        <f t="shared" si="2"/>
        <v>20</v>
      </c>
      <c r="N15" s="37">
        <v>40</v>
      </c>
      <c r="O15" s="64" t="s">
        <v>161</v>
      </c>
      <c r="P15" s="50">
        <v>3.5700000000000003E-2</v>
      </c>
      <c r="Q15" s="38">
        <f>P15*N15</f>
        <v>1.4280000000000002</v>
      </c>
      <c r="R15" s="37"/>
      <c r="S15" s="56"/>
    </row>
    <row r="16" spans="1:19" s="59" customFormat="1" x14ac:dyDescent="0.25">
      <c r="A16" s="57"/>
      <c r="B16" s="47">
        <f t="shared" si="0"/>
        <v>7</v>
      </c>
      <c r="C16" s="52" t="s">
        <v>9</v>
      </c>
      <c r="D16" s="49" t="s">
        <v>181</v>
      </c>
      <c r="E16" s="49" t="s">
        <v>182</v>
      </c>
      <c r="F16" s="49" t="s">
        <v>183</v>
      </c>
      <c r="G16" s="49" t="s">
        <v>184</v>
      </c>
      <c r="H16" s="49" t="s">
        <v>101</v>
      </c>
      <c r="I16" s="49" t="s">
        <v>156</v>
      </c>
      <c r="J16" s="49" t="s">
        <v>185</v>
      </c>
      <c r="K16" s="49" t="s">
        <v>186</v>
      </c>
      <c r="L16" s="49">
        <v>1</v>
      </c>
      <c r="M16" s="37">
        <f t="shared" si="2"/>
        <v>5</v>
      </c>
      <c r="N16" s="49">
        <v>100</v>
      </c>
      <c r="O16" s="64" t="s">
        <v>161</v>
      </c>
      <c r="P16" s="50">
        <v>4.0000000000000001E-3</v>
      </c>
      <c r="Q16" s="50">
        <f t="shared" ref="Q16" si="5">P16*N16</f>
        <v>0.4</v>
      </c>
      <c r="R16" s="49"/>
      <c r="S16" s="56"/>
    </row>
    <row r="17" spans="1:19" s="59" customFormat="1" x14ac:dyDescent="0.25">
      <c r="A17" s="57"/>
      <c r="B17" s="46">
        <f>ROW(B17) - ROW($B$9)</f>
        <v>8</v>
      </c>
      <c r="C17" s="51" t="s">
        <v>10</v>
      </c>
      <c r="D17" s="37" t="s">
        <v>187</v>
      </c>
      <c r="E17" s="37" t="s">
        <v>188</v>
      </c>
      <c r="F17" s="37" t="s">
        <v>189</v>
      </c>
      <c r="G17" s="37" t="s">
        <v>190</v>
      </c>
      <c r="H17" s="37" t="s">
        <v>104</v>
      </c>
      <c r="I17" s="37" t="s">
        <v>156</v>
      </c>
      <c r="J17" s="37" t="s">
        <v>191</v>
      </c>
      <c r="K17" s="37" t="s">
        <v>156</v>
      </c>
      <c r="L17" s="37">
        <v>1</v>
      </c>
      <c r="M17" s="37">
        <f t="shared" si="2"/>
        <v>5</v>
      </c>
      <c r="N17" s="37">
        <v>10</v>
      </c>
      <c r="O17" s="63" t="s">
        <v>161</v>
      </c>
      <c r="P17" s="38">
        <v>6.4299999999999996E-2</v>
      </c>
      <c r="Q17" s="38">
        <f>P17*N17</f>
        <v>0.64300000000000002</v>
      </c>
      <c r="R17" s="37"/>
      <c r="S17" s="56"/>
    </row>
    <row r="18" spans="1:19" s="59" customFormat="1" ht="24" x14ac:dyDescent="0.25">
      <c r="A18" s="57"/>
      <c r="B18" s="47">
        <f t="shared" si="0"/>
        <v>9</v>
      </c>
      <c r="C18" s="51" t="s">
        <v>10</v>
      </c>
      <c r="D18" s="70" t="s">
        <v>28</v>
      </c>
      <c r="E18" s="49" t="s">
        <v>48</v>
      </c>
      <c r="F18" s="49" t="s">
        <v>70</v>
      </c>
      <c r="G18" s="49" t="s">
        <v>86</v>
      </c>
      <c r="H18" s="49" t="s">
        <v>103</v>
      </c>
      <c r="I18" s="49" t="s">
        <v>156</v>
      </c>
      <c r="J18" s="49" t="s">
        <v>123</v>
      </c>
      <c r="K18" s="49" t="s">
        <v>156</v>
      </c>
      <c r="L18" s="49">
        <v>1</v>
      </c>
      <c r="M18" s="37">
        <f t="shared" si="2"/>
        <v>5</v>
      </c>
      <c r="N18" s="37">
        <v>20</v>
      </c>
      <c r="O18" s="64" t="s">
        <v>161</v>
      </c>
      <c r="P18" s="50">
        <v>4.48E-2</v>
      </c>
      <c r="Q18" s="38">
        <f>P18*N18</f>
        <v>0.89600000000000002</v>
      </c>
      <c r="R18" s="37"/>
      <c r="S18" s="56"/>
    </row>
    <row r="19" spans="1:19" s="59" customFormat="1" ht="24" x14ac:dyDescent="0.25">
      <c r="A19" s="57"/>
      <c r="B19" s="46">
        <f t="shared" ref="B19:B25" si="6">ROW(B19) - ROW($B$9)</f>
        <v>10</v>
      </c>
      <c r="C19" s="51" t="s">
        <v>11</v>
      </c>
      <c r="D19" s="37" t="s">
        <v>29</v>
      </c>
      <c r="E19" s="37" t="s">
        <v>193</v>
      </c>
      <c r="F19" s="37" t="s">
        <v>194</v>
      </c>
      <c r="G19" s="37" t="s">
        <v>195</v>
      </c>
      <c r="H19" s="37" t="s">
        <v>105</v>
      </c>
      <c r="I19" s="37" t="s">
        <v>156</v>
      </c>
      <c r="J19" s="37" t="s">
        <v>196</v>
      </c>
      <c r="K19" s="37" t="s">
        <v>156</v>
      </c>
      <c r="L19" s="37">
        <v>1</v>
      </c>
      <c r="M19" s="37">
        <f t="shared" si="2"/>
        <v>5</v>
      </c>
      <c r="N19" s="49">
        <v>10</v>
      </c>
      <c r="O19" s="63" t="s">
        <v>161</v>
      </c>
      <c r="P19" s="38">
        <v>9.5100000000000004E-2</v>
      </c>
      <c r="Q19" s="50">
        <f t="shared" ref="Q19" si="7">P19*N19</f>
        <v>0.95100000000000007</v>
      </c>
      <c r="R19" s="49"/>
      <c r="S19" s="56"/>
    </row>
    <row r="20" spans="1:19" s="59" customFormat="1" x14ac:dyDescent="0.25">
      <c r="A20" s="57"/>
      <c r="B20" s="46">
        <f t="shared" si="6"/>
        <v>11</v>
      </c>
      <c r="C20" s="51" t="s">
        <v>12</v>
      </c>
      <c r="D20" s="37" t="s">
        <v>311</v>
      </c>
      <c r="E20" s="37" t="s">
        <v>322</v>
      </c>
      <c r="F20" s="37" t="s">
        <v>321</v>
      </c>
      <c r="G20" s="37" t="s">
        <v>316</v>
      </c>
      <c r="H20" s="37" t="s">
        <v>102</v>
      </c>
      <c r="I20" s="37" t="s">
        <v>156</v>
      </c>
      <c r="J20" s="37" t="s">
        <v>323</v>
      </c>
      <c r="K20" s="49" t="s">
        <v>156</v>
      </c>
      <c r="L20" s="37">
        <v>3</v>
      </c>
      <c r="M20" s="37">
        <f t="shared" si="2"/>
        <v>15</v>
      </c>
      <c r="N20" s="37">
        <v>100</v>
      </c>
      <c r="O20" s="63" t="s">
        <v>161</v>
      </c>
      <c r="P20" s="38">
        <v>7.1000000000000004E-3</v>
      </c>
      <c r="Q20" s="38">
        <f>P20*N20</f>
        <v>0.71000000000000008</v>
      </c>
      <c r="R20" s="37"/>
      <c r="S20" s="56"/>
    </row>
    <row r="21" spans="1:19" s="59" customFormat="1" ht="24" x14ac:dyDescent="0.25">
      <c r="A21" s="57"/>
      <c r="B21" s="46">
        <f t="shared" si="6"/>
        <v>12</v>
      </c>
      <c r="C21" s="51" t="s">
        <v>12</v>
      </c>
      <c r="D21" s="37" t="s">
        <v>197</v>
      </c>
      <c r="E21" s="37" t="s">
        <v>198</v>
      </c>
      <c r="F21" s="37" t="s">
        <v>199</v>
      </c>
      <c r="G21" s="37" t="s">
        <v>200</v>
      </c>
      <c r="H21" s="37" t="s">
        <v>102</v>
      </c>
      <c r="I21" s="37" t="s">
        <v>156</v>
      </c>
      <c r="J21" s="37" t="s">
        <v>201</v>
      </c>
      <c r="K21" s="37" t="s">
        <v>202</v>
      </c>
      <c r="L21" s="37">
        <v>1</v>
      </c>
      <c r="M21" s="37">
        <f t="shared" si="2"/>
        <v>5</v>
      </c>
      <c r="N21" s="49">
        <v>10</v>
      </c>
      <c r="O21" s="63" t="s">
        <v>161</v>
      </c>
      <c r="P21" s="38">
        <v>9.5000000000000001E-2</v>
      </c>
      <c r="Q21" s="50">
        <f t="shared" ref="Q21" si="8">P21*N21</f>
        <v>0.95</v>
      </c>
      <c r="R21" s="49"/>
      <c r="S21" s="56"/>
    </row>
    <row r="22" spans="1:19" s="59" customFormat="1" ht="24" x14ac:dyDescent="0.25">
      <c r="A22" s="57"/>
      <c r="B22" s="47">
        <f t="shared" si="6"/>
        <v>13</v>
      </c>
      <c r="C22" s="52" t="s">
        <v>14</v>
      </c>
      <c r="D22" s="70" t="s">
        <v>30</v>
      </c>
      <c r="E22" s="49" t="s">
        <v>50</v>
      </c>
      <c r="F22" s="49" t="s">
        <v>158</v>
      </c>
      <c r="G22" s="49" t="s">
        <v>88</v>
      </c>
      <c r="H22" s="49" t="s">
        <v>107</v>
      </c>
      <c r="I22" s="49" t="s">
        <v>156</v>
      </c>
      <c r="J22" s="49" t="s">
        <v>125</v>
      </c>
      <c r="K22" s="49" t="s">
        <v>156</v>
      </c>
      <c r="L22" s="49">
        <v>1</v>
      </c>
      <c r="M22" s="37">
        <f t="shared" si="2"/>
        <v>5</v>
      </c>
      <c r="N22" s="37">
        <v>20</v>
      </c>
      <c r="O22" s="64" t="s">
        <v>161</v>
      </c>
      <c r="P22" s="50">
        <v>3.39E-2</v>
      </c>
      <c r="Q22" s="38">
        <f>P22*N22</f>
        <v>0.67799999999999994</v>
      </c>
      <c r="R22" s="37"/>
      <c r="S22" s="56"/>
    </row>
    <row r="23" spans="1:19" s="59" customFormat="1" ht="24" x14ac:dyDescent="0.25">
      <c r="A23" s="57"/>
      <c r="B23" s="46">
        <f t="shared" si="6"/>
        <v>14</v>
      </c>
      <c r="C23" s="51" t="s">
        <v>13</v>
      </c>
      <c r="D23" s="69" t="s">
        <v>31</v>
      </c>
      <c r="E23" s="37" t="s">
        <v>49</v>
      </c>
      <c r="F23" s="37" t="s">
        <v>158</v>
      </c>
      <c r="G23" s="37" t="s">
        <v>87</v>
      </c>
      <c r="H23" s="37" t="s">
        <v>106</v>
      </c>
      <c r="I23" s="37" t="s">
        <v>156</v>
      </c>
      <c r="J23" s="37" t="s">
        <v>124</v>
      </c>
      <c r="K23" s="49" t="s">
        <v>156</v>
      </c>
      <c r="L23" s="37">
        <v>1</v>
      </c>
      <c r="M23" s="37">
        <f t="shared" si="2"/>
        <v>5</v>
      </c>
      <c r="N23" s="49">
        <v>10</v>
      </c>
      <c r="O23" s="63" t="s">
        <v>161</v>
      </c>
      <c r="P23" s="38">
        <v>0.21740000000000001</v>
      </c>
      <c r="Q23" s="50">
        <f t="shared" ref="Q23" si="9">P23*N23</f>
        <v>2.1739999999999999</v>
      </c>
      <c r="R23" s="49"/>
      <c r="S23" s="56"/>
    </row>
    <row r="24" spans="1:19" s="59" customFormat="1" ht="24" x14ac:dyDescent="0.25">
      <c r="A24" s="57"/>
      <c r="B24" s="46">
        <f t="shared" si="6"/>
        <v>15</v>
      </c>
      <c r="C24" s="51" t="s">
        <v>15</v>
      </c>
      <c r="D24" s="69" t="s">
        <v>32</v>
      </c>
      <c r="E24" s="37" t="s">
        <v>51</v>
      </c>
      <c r="F24" s="37" t="s">
        <v>158</v>
      </c>
      <c r="G24" s="37" t="s">
        <v>89</v>
      </c>
      <c r="H24" s="37" t="s">
        <v>108</v>
      </c>
      <c r="I24" s="37" t="s">
        <v>156</v>
      </c>
      <c r="J24" s="37" t="s">
        <v>89</v>
      </c>
      <c r="K24" s="49" t="s">
        <v>156</v>
      </c>
      <c r="L24" s="37">
        <v>1</v>
      </c>
      <c r="M24" s="37">
        <f t="shared" si="2"/>
        <v>5</v>
      </c>
      <c r="N24" s="37">
        <v>12</v>
      </c>
      <c r="O24" s="63" t="s">
        <v>161</v>
      </c>
      <c r="P24" s="38">
        <v>7.1999999999999995E-2</v>
      </c>
      <c r="Q24" s="38">
        <f>P24*N24</f>
        <v>0.86399999999999988</v>
      </c>
      <c r="R24" s="37"/>
      <c r="S24" s="56"/>
    </row>
    <row r="25" spans="1:19" s="59" customFormat="1" x14ac:dyDescent="0.25">
      <c r="A25" s="57"/>
      <c r="B25" s="46">
        <f t="shared" si="6"/>
        <v>16</v>
      </c>
      <c r="C25" s="51" t="s">
        <v>16</v>
      </c>
      <c r="D25" s="69" t="s">
        <v>203</v>
      </c>
      <c r="E25" s="37" t="s">
        <v>52</v>
      </c>
      <c r="F25" s="37" t="s">
        <v>71</v>
      </c>
      <c r="G25" s="61">
        <v>61300211121</v>
      </c>
      <c r="H25" s="37" t="s">
        <v>109</v>
      </c>
      <c r="I25" s="37" t="s">
        <v>299</v>
      </c>
      <c r="J25" s="37" t="s">
        <v>300</v>
      </c>
      <c r="K25" s="37" t="s">
        <v>156</v>
      </c>
      <c r="L25" s="37">
        <v>1</v>
      </c>
      <c r="M25" s="37">
        <f t="shared" si="2"/>
        <v>5</v>
      </c>
      <c r="N25" s="49">
        <v>20</v>
      </c>
      <c r="O25" s="63" t="s">
        <v>161</v>
      </c>
      <c r="P25" s="38">
        <v>2.46E-2</v>
      </c>
      <c r="Q25" s="50">
        <f t="shared" ref="Q25" si="10">P25*N25</f>
        <v>0.49199999999999999</v>
      </c>
      <c r="R25" s="49"/>
      <c r="S25" s="56"/>
    </row>
    <row r="26" spans="1:19" s="59" customFormat="1" ht="24" x14ac:dyDescent="0.25">
      <c r="A26" s="57"/>
      <c r="B26" s="47">
        <f t="shared" ref="B26" si="11">ROW(B26) - ROW($B$9)</f>
        <v>17</v>
      </c>
      <c r="C26" s="52" t="s">
        <v>17</v>
      </c>
      <c r="D26" s="49" t="s">
        <v>33</v>
      </c>
      <c r="E26" s="49" t="s">
        <v>204</v>
      </c>
      <c r="F26" s="49" t="s">
        <v>158</v>
      </c>
      <c r="G26" s="49" t="s">
        <v>205</v>
      </c>
      <c r="H26" s="49" t="s">
        <v>206</v>
      </c>
      <c r="I26" s="49" t="s">
        <v>156</v>
      </c>
      <c r="J26" s="49" t="s">
        <v>207</v>
      </c>
      <c r="K26" s="49" t="s">
        <v>208</v>
      </c>
      <c r="L26" s="49">
        <v>1</v>
      </c>
      <c r="M26" s="37">
        <f t="shared" si="2"/>
        <v>5</v>
      </c>
      <c r="N26" s="37">
        <v>10</v>
      </c>
      <c r="O26" s="64" t="s">
        <v>161</v>
      </c>
      <c r="P26" s="50">
        <v>4.07E-2</v>
      </c>
      <c r="Q26" s="38">
        <f>P26*N26</f>
        <v>0.40700000000000003</v>
      </c>
      <c r="R26" s="37"/>
      <c r="S26" s="56"/>
    </row>
    <row r="27" spans="1:19" s="59" customFormat="1" ht="24" x14ac:dyDescent="0.25">
      <c r="A27" s="57"/>
      <c r="B27" s="46">
        <f>ROW(B27) - ROW($B$9)</f>
        <v>18</v>
      </c>
      <c r="C27" s="51" t="s">
        <v>17</v>
      </c>
      <c r="D27" s="37" t="s">
        <v>209</v>
      </c>
      <c r="E27" s="37" t="s">
        <v>210</v>
      </c>
      <c r="F27" s="37" t="s">
        <v>158</v>
      </c>
      <c r="G27" s="37" t="s">
        <v>211</v>
      </c>
      <c r="H27" s="37" t="s">
        <v>176</v>
      </c>
      <c r="I27" s="37" t="s">
        <v>156</v>
      </c>
      <c r="J27" s="37" t="s">
        <v>212</v>
      </c>
      <c r="K27" s="37" t="s">
        <v>213</v>
      </c>
      <c r="L27" s="37">
        <v>2</v>
      </c>
      <c r="M27" s="37">
        <f t="shared" si="2"/>
        <v>10</v>
      </c>
      <c r="N27" s="49">
        <v>11</v>
      </c>
      <c r="O27" s="63" t="s">
        <v>161</v>
      </c>
      <c r="P27" s="38">
        <v>0.50119999999999998</v>
      </c>
      <c r="Q27" s="50">
        <f t="shared" ref="Q27" si="12">P27*N27</f>
        <v>5.5131999999999994</v>
      </c>
      <c r="R27" s="49"/>
      <c r="S27" s="56"/>
    </row>
    <row r="28" spans="1:19" s="59" customFormat="1" ht="24" x14ac:dyDescent="0.25">
      <c r="A28" s="57"/>
      <c r="B28" s="47">
        <f t="shared" si="0"/>
        <v>19</v>
      </c>
      <c r="C28" s="52" t="s">
        <v>18</v>
      </c>
      <c r="D28" s="70" t="s">
        <v>34</v>
      </c>
      <c r="E28" s="49" t="s">
        <v>53</v>
      </c>
      <c r="F28" s="49" t="s">
        <v>72</v>
      </c>
      <c r="G28" s="49" t="s">
        <v>90</v>
      </c>
      <c r="H28" s="49" t="s">
        <v>110</v>
      </c>
      <c r="I28" s="49" t="s">
        <v>156</v>
      </c>
      <c r="J28" s="49" t="s">
        <v>126</v>
      </c>
      <c r="K28" s="49" t="s">
        <v>156</v>
      </c>
      <c r="L28" s="49">
        <v>1</v>
      </c>
      <c r="M28" s="37">
        <f t="shared" si="2"/>
        <v>5</v>
      </c>
      <c r="N28" s="37">
        <v>20</v>
      </c>
      <c r="O28" s="64" t="s">
        <v>161</v>
      </c>
      <c r="P28" s="50">
        <v>2.6499999999999999E-2</v>
      </c>
      <c r="Q28" s="38">
        <f>P28*N28</f>
        <v>0.53</v>
      </c>
      <c r="R28" s="37"/>
      <c r="S28" s="56"/>
    </row>
    <row r="29" spans="1:19" s="59" customFormat="1" ht="24" x14ac:dyDescent="0.25">
      <c r="A29" s="57"/>
      <c r="B29" s="46">
        <f>ROW(B29) - ROW($B$9)</f>
        <v>20</v>
      </c>
      <c r="C29" s="51" t="s">
        <v>18</v>
      </c>
      <c r="D29" s="69" t="s">
        <v>35</v>
      </c>
      <c r="E29" s="37" t="s">
        <v>54</v>
      </c>
      <c r="F29" s="37" t="s">
        <v>72</v>
      </c>
      <c r="G29" s="37" t="s">
        <v>91</v>
      </c>
      <c r="H29" s="37" t="s">
        <v>110</v>
      </c>
      <c r="I29" s="37" t="s">
        <v>156</v>
      </c>
      <c r="J29" s="37" t="s">
        <v>127</v>
      </c>
      <c r="K29" s="37" t="s">
        <v>156</v>
      </c>
      <c r="L29" s="37">
        <v>1</v>
      </c>
      <c r="M29" s="37">
        <f t="shared" si="2"/>
        <v>5</v>
      </c>
      <c r="N29" s="49">
        <v>20</v>
      </c>
      <c r="O29" s="63" t="s">
        <v>161</v>
      </c>
      <c r="P29" s="38">
        <v>2.3300000000000001E-2</v>
      </c>
      <c r="Q29" s="50">
        <f t="shared" ref="Q29" si="13">P29*N29</f>
        <v>0.46600000000000003</v>
      </c>
      <c r="R29" s="49"/>
      <c r="S29" s="56"/>
    </row>
    <row r="30" spans="1:19" s="59" customFormat="1" ht="24" x14ac:dyDescent="0.25">
      <c r="A30" s="57"/>
      <c r="B30" s="47">
        <f t="shared" ref="B30" si="14">ROW(B30) - ROW($B$9)</f>
        <v>21</v>
      </c>
      <c r="C30" s="52" t="s">
        <v>19</v>
      </c>
      <c r="D30" s="49" t="s">
        <v>214</v>
      </c>
      <c r="E30" s="49" t="s">
        <v>215</v>
      </c>
      <c r="F30" s="49" t="s">
        <v>158</v>
      </c>
      <c r="G30" s="49" t="s">
        <v>216</v>
      </c>
      <c r="H30" s="49" t="s">
        <v>217</v>
      </c>
      <c r="I30" s="49" t="s">
        <v>156</v>
      </c>
      <c r="J30" s="49" t="s">
        <v>218</v>
      </c>
      <c r="K30" s="49" t="s">
        <v>156</v>
      </c>
      <c r="L30" s="49">
        <v>3</v>
      </c>
      <c r="M30" s="37">
        <f t="shared" si="2"/>
        <v>15</v>
      </c>
      <c r="N30" s="37">
        <v>20</v>
      </c>
      <c r="O30" s="64" t="s">
        <v>161</v>
      </c>
      <c r="P30" s="50">
        <v>7.1300000000000002E-2</v>
      </c>
      <c r="Q30" s="38">
        <f>P30*N30</f>
        <v>1.4260000000000002</v>
      </c>
      <c r="R30" s="37"/>
      <c r="S30" s="56"/>
    </row>
    <row r="31" spans="1:19" s="59" customFormat="1" x14ac:dyDescent="0.25">
      <c r="A31" s="57"/>
      <c r="B31" s="47">
        <f t="shared" si="0"/>
        <v>22</v>
      </c>
      <c r="C31" s="52" t="s">
        <v>20</v>
      </c>
      <c r="D31" s="60" t="s">
        <v>219</v>
      </c>
      <c r="E31" s="60" t="s">
        <v>55</v>
      </c>
      <c r="F31" s="60" t="s">
        <v>158</v>
      </c>
      <c r="G31" s="60" t="s">
        <v>156</v>
      </c>
      <c r="H31" s="60" t="s">
        <v>156</v>
      </c>
      <c r="I31" s="60" t="s">
        <v>156</v>
      </c>
      <c r="J31" s="60" t="s">
        <v>156</v>
      </c>
      <c r="K31" s="61" t="s">
        <v>156</v>
      </c>
      <c r="L31" s="60">
        <v>4</v>
      </c>
      <c r="M31" s="60">
        <f t="shared" si="2"/>
        <v>20</v>
      </c>
      <c r="N31" s="49" t="s">
        <v>156</v>
      </c>
      <c r="O31" s="60" t="s">
        <v>156</v>
      </c>
      <c r="P31" s="60" t="s">
        <v>156</v>
      </c>
      <c r="Q31" s="50" t="s">
        <v>156</v>
      </c>
      <c r="R31" s="49"/>
      <c r="S31" s="56"/>
    </row>
    <row r="32" spans="1:19" s="59" customFormat="1" ht="36" x14ac:dyDescent="0.25">
      <c r="A32" s="57"/>
      <c r="B32" s="47">
        <f t="shared" si="0"/>
        <v>23</v>
      </c>
      <c r="C32" s="52" t="s">
        <v>21</v>
      </c>
      <c r="D32" s="70" t="s">
        <v>220</v>
      </c>
      <c r="E32" s="49" t="s">
        <v>56</v>
      </c>
      <c r="F32" s="49" t="s">
        <v>73</v>
      </c>
      <c r="G32" s="49" t="s">
        <v>92</v>
      </c>
      <c r="H32" s="49" t="s">
        <v>111</v>
      </c>
      <c r="I32" s="49" t="s">
        <v>156</v>
      </c>
      <c r="J32" s="49" t="s">
        <v>128</v>
      </c>
      <c r="K32" s="37" t="s">
        <v>156</v>
      </c>
      <c r="L32" s="49">
        <v>2</v>
      </c>
      <c r="M32" s="37">
        <f t="shared" si="2"/>
        <v>10</v>
      </c>
      <c r="N32" s="37">
        <v>20</v>
      </c>
      <c r="O32" s="64" t="s">
        <v>161</v>
      </c>
      <c r="P32" s="50">
        <v>4.6899999999999997E-2</v>
      </c>
      <c r="Q32" s="75">
        <f>P32*N32</f>
        <v>0.93799999999999994</v>
      </c>
      <c r="R32" s="65"/>
      <c r="S32" s="56"/>
    </row>
    <row r="33" spans="1:26" s="59" customFormat="1" ht="48" x14ac:dyDescent="0.25">
      <c r="A33" s="57"/>
      <c r="B33" s="46">
        <f t="shared" si="0"/>
        <v>24</v>
      </c>
      <c r="C33" s="51" t="s">
        <v>21</v>
      </c>
      <c r="D33" s="37" t="s">
        <v>221</v>
      </c>
      <c r="E33" s="37" t="s">
        <v>57</v>
      </c>
      <c r="F33" s="37" t="s">
        <v>74</v>
      </c>
      <c r="G33" s="37" t="s">
        <v>93</v>
      </c>
      <c r="H33" s="37" t="s">
        <v>112</v>
      </c>
      <c r="I33" s="37" t="s">
        <v>156</v>
      </c>
      <c r="J33" s="37" t="s">
        <v>129</v>
      </c>
      <c r="K33" s="37" t="s">
        <v>156</v>
      </c>
      <c r="L33" s="37">
        <v>3</v>
      </c>
      <c r="M33" s="37">
        <f t="shared" si="2"/>
        <v>15</v>
      </c>
      <c r="N33" s="70">
        <v>20</v>
      </c>
      <c r="O33" s="63" t="s">
        <v>161</v>
      </c>
      <c r="P33" s="38">
        <v>3.3500000000000002E-2</v>
      </c>
      <c r="Q33" s="73">
        <f>P33*N33</f>
        <v>0.67</v>
      </c>
      <c r="R33" s="72"/>
      <c r="S33" s="71"/>
    </row>
    <row r="34" spans="1:26" s="59" customFormat="1" x14ac:dyDescent="0.25">
      <c r="A34" s="57"/>
      <c r="B34" s="46">
        <f t="shared" si="0"/>
        <v>25</v>
      </c>
      <c r="C34" s="51" t="s">
        <v>21</v>
      </c>
      <c r="D34" s="37" t="s">
        <v>312</v>
      </c>
      <c r="E34" s="77" t="s">
        <v>324</v>
      </c>
      <c r="F34" s="37" t="s">
        <v>325</v>
      </c>
      <c r="G34" s="77" t="s">
        <v>317</v>
      </c>
      <c r="H34" s="37" t="s">
        <v>112</v>
      </c>
      <c r="I34" s="37" t="s">
        <v>156</v>
      </c>
      <c r="J34" s="37" t="s">
        <v>326</v>
      </c>
      <c r="K34" s="37" t="s">
        <v>156</v>
      </c>
      <c r="L34" s="37">
        <v>1</v>
      </c>
      <c r="M34" s="37">
        <f>L34*5</f>
        <v>5</v>
      </c>
      <c r="N34" s="37">
        <v>20</v>
      </c>
      <c r="O34" s="63" t="s">
        <v>161</v>
      </c>
      <c r="P34" s="38">
        <v>3.4099999999999998E-2</v>
      </c>
      <c r="Q34" s="50">
        <f t="shared" ref="Q34" si="15">P34*N34</f>
        <v>0.68199999999999994</v>
      </c>
      <c r="R34" s="49"/>
      <c r="S34" s="56"/>
    </row>
    <row r="35" spans="1:26" s="59" customFormat="1" x14ac:dyDescent="0.25">
      <c r="A35" s="57"/>
      <c r="B35" s="46">
        <f>ROW(B35) - ROW($B$9)</f>
        <v>26</v>
      </c>
      <c r="C35" s="51" t="s">
        <v>22</v>
      </c>
      <c r="D35" s="49" t="s">
        <v>222</v>
      </c>
      <c r="E35" s="37" t="s">
        <v>61</v>
      </c>
      <c r="F35" s="37" t="s">
        <v>75</v>
      </c>
      <c r="G35" s="37" t="s">
        <v>97</v>
      </c>
      <c r="H35" s="37" t="s">
        <v>101</v>
      </c>
      <c r="I35" s="37" t="s">
        <v>156</v>
      </c>
      <c r="J35" s="37" t="s">
        <v>133</v>
      </c>
      <c r="K35" s="37" t="s">
        <v>147</v>
      </c>
      <c r="L35" s="37">
        <v>2</v>
      </c>
      <c r="M35" s="37">
        <f t="shared" si="2"/>
        <v>10</v>
      </c>
      <c r="N35" s="37">
        <v>100</v>
      </c>
      <c r="O35" s="63" t="s">
        <v>161</v>
      </c>
      <c r="P35" s="38">
        <v>1.1999999999999999E-3</v>
      </c>
      <c r="Q35" s="38">
        <f>P35*N35</f>
        <v>0.12</v>
      </c>
      <c r="R35" s="37"/>
      <c r="S35" s="56"/>
    </row>
    <row r="36" spans="1:26" s="59" customFormat="1" x14ac:dyDescent="0.25">
      <c r="A36" s="57"/>
      <c r="B36" s="46">
        <f>ROW(B36) - ROW($B$9)</f>
        <v>27</v>
      </c>
      <c r="C36" s="51" t="s">
        <v>22</v>
      </c>
      <c r="D36" s="37" t="s">
        <v>223</v>
      </c>
      <c r="E36" s="37" t="s">
        <v>224</v>
      </c>
      <c r="F36" s="37" t="s">
        <v>75</v>
      </c>
      <c r="G36" s="37" t="s">
        <v>225</v>
      </c>
      <c r="H36" s="37" t="s">
        <v>101</v>
      </c>
      <c r="I36" s="37" t="s">
        <v>156</v>
      </c>
      <c r="J36" s="37" t="s">
        <v>226</v>
      </c>
      <c r="K36" s="37" t="s">
        <v>227</v>
      </c>
      <c r="L36" s="37">
        <v>1</v>
      </c>
      <c r="M36" s="37">
        <f t="shared" si="2"/>
        <v>5</v>
      </c>
      <c r="N36" s="49">
        <v>100</v>
      </c>
      <c r="O36" s="63" t="s">
        <v>161</v>
      </c>
      <c r="P36" s="38">
        <v>1.1999999999999999E-3</v>
      </c>
      <c r="Q36" s="50">
        <f t="shared" ref="Q36" si="16">P36*N36</f>
        <v>0.12</v>
      </c>
      <c r="R36" s="49"/>
      <c r="S36" s="56"/>
    </row>
    <row r="37" spans="1:26" s="59" customFormat="1" x14ac:dyDescent="0.25">
      <c r="A37" s="57"/>
      <c r="B37" s="47">
        <f t="shared" ref="B37" si="17">ROW(B37) - ROW($B$9)</f>
        <v>28</v>
      </c>
      <c r="C37" s="52" t="s">
        <v>22</v>
      </c>
      <c r="D37" s="49" t="s">
        <v>228</v>
      </c>
      <c r="E37" s="49" t="s">
        <v>229</v>
      </c>
      <c r="F37" s="49" t="s">
        <v>75</v>
      </c>
      <c r="G37" s="49" t="s">
        <v>230</v>
      </c>
      <c r="H37" s="49" t="s">
        <v>101</v>
      </c>
      <c r="I37" s="49" t="s">
        <v>156</v>
      </c>
      <c r="J37" s="49" t="s">
        <v>231</v>
      </c>
      <c r="K37" s="49" t="s">
        <v>232</v>
      </c>
      <c r="L37" s="49">
        <v>1</v>
      </c>
      <c r="M37" s="37">
        <f t="shared" si="2"/>
        <v>5</v>
      </c>
      <c r="N37" s="37">
        <v>100</v>
      </c>
      <c r="O37" s="64" t="s">
        <v>161</v>
      </c>
      <c r="P37" s="50">
        <v>1.1000000000000001E-3</v>
      </c>
      <c r="Q37" s="38">
        <f>P37*N37</f>
        <v>0.11</v>
      </c>
      <c r="R37" s="37"/>
      <c r="S37" s="56"/>
    </row>
    <row r="38" spans="1:26" s="59" customFormat="1" ht="24" x14ac:dyDescent="0.25">
      <c r="A38" s="57"/>
      <c r="B38" s="46">
        <f>ROW(B38) - ROW($B$9)</f>
        <v>29</v>
      </c>
      <c r="C38" s="51" t="s">
        <v>22</v>
      </c>
      <c r="D38" s="37" t="s">
        <v>234</v>
      </c>
      <c r="E38" s="37" t="s">
        <v>235</v>
      </c>
      <c r="F38" s="37" t="s">
        <v>75</v>
      </c>
      <c r="G38" s="37" t="s">
        <v>236</v>
      </c>
      <c r="H38" s="37" t="s">
        <v>237</v>
      </c>
      <c r="I38" s="37" t="s">
        <v>156</v>
      </c>
      <c r="J38" s="37" t="s">
        <v>238</v>
      </c>
      <c r="K38" s="37" t="s">
        <v>239</v>
      </c>
      <c r="L38" s="37">
        <v>1</v>
      </c>
      <c r="M38" s="37">
        <f t="shared" si="2"/>
        <v>5</v>
      </c>
      <c r="N38" s="49">
        <v>100</v>
      </c>
      <c r="O38" s="63" t="s">
        <v>161</v>
      </c>
      <c r="P38" s="38">
        <v>1E-3</v>
      </c>
      <c r="Q38" s="50">
        <f t="shared" ref="Q38" si="18">P38*N38</f>
        <v>0.1</v>
      </c>
      <c r="R38" s="49"/>
      <c r="S38" s="56"/>
    </row>
    <row r="39" spans="1:26" s="59" customFormat="1" x14ac:dyDescent="0.25">
      <c r="A39" s="57"/>
      <c r="B39" s="46">
        <f t="shared" si="0"/>
        <v>30</v>
      </c>
      <c r="C39" s="52" t="s">
        <v>22</v>
      </c>
      <c r="D39" s="49" t="s">
        <v>233</v>
      </c>
      <c r="E39" s="37" t="s">
        <v>59</v>
      </c>
      <c r="F39" s="37" t="s">
        <v>75</v>
      </c>
      <c r="G39" s="37" t="s">
        <v>95</v>
      </c>
      <c r="H39" s="37" t="s">
        <v>101</v>
      </c>
      <c r="I39" s="37" t="s">
        <v>156</v>
      </c>
      <c r="J39" s="37" t="s">
        <v>131</v>
      </c>
      <c r="K39" s="37" t="s">
        <v>143</v>
      </c>
      <c r="L39" s="37">
        <v>8</v>
      </c>
      <c r="M39" s="37">
        <f t="shared" si="2"/>
        <v>40</v>
      </c>
      <c r="N39" s="37">
        <v>100</v>
      </c>
      <c r="O39" s="63" t="s">
        <v>161</v>
      </c>
      <c r="P39" s="38">
        <v>1E-3</v>
      </c>
      <c r="Q39" s="38">
        <f>P39*N39</f>
        <v>0.1</v>
      </c>
      <c r="R39" s="37"/>
      <c r="S39" s="56"/>
    </row>
    <row r="40" spans="1:26" s="59" customFormat="1" ht="24" x14ac:dyDescent="0.25">
      <c r="A40" s="57"/>
      <c r="B40" s="46">
        <f>ROW(B40) - ROW($B$9)</f>
        <v>31</v>
      </c>
      <c r="C40" s="51" t="s">
        <v>22</v>
      </c>
      <c r="D40" s="37" t="s">
        <v>240</v>
      </c>
      <c r="E40" s="37" t="s">
        <v>241</v>
      </c>
      <c r="F40" s="37" t="s">
        <v>242</v>
      </c>
      <c r="G40" s="37" t="s">
        <v>243</v>
      </c>
      <c r="H40" s="37" t="s">
        <v>244</v>
      </c>
      <c r="I40" s="37" t="s">
        <v>156</v>
      </c>
      <c r="J40" s="37" t="s">
        <v>245</v>
      </c>
      <c r="K40" s="37" t="s">
        <v>246</v>
      </c>
      <c r="L40" s="37">
        <v>1</v>
      </c>
      <c r="M40" s="37">
        <f t="shared" si="2"/>
        <v>5</v>
      </c>
      <c r="N40" s="49">
        <v>10</v>
      </c>
      <c r="O40" s="63" t="s">
        <v>161</v>
      </c>
      <c r="P40" s="38">
        <v>5.0000000000000001E-4</v>
      </c>
      <c r="Q40" s="50">
        <f t="shared" ref="Q40" si="19">P40*N40</f>
        <v>5.0000000000000001E-3</v>
      </c>
      <c r="R40" s="49"/>
      <c r="S40" s="56"/>
    </row>
    <row r="41" spans="1:26" s="59" customFormat="1" x14ac:dyDescent="0.25">
      <c r="A41" s="57"/>
      <c r="B41" s="47">
        <f>ROW(B41) - ROW($B$9)</f>
        <v>32</v>
      </c>
      <c r="C41" s="52" t="s">
        <v>22</v>
      </c>
      <c r="D41" s="49" t="s">
        <v>294</v>
      </c>
      <c r="E41" s="49" t="s">
        <v>258</v>
      </c>
      <c r="F41" s="49" t="s">
        <v>75</v>
      </c>
      <c r="G41" s="49" t="s">
        <v>259</v>
      </c>
      <c r="H41" s="49" t="s">
        <v>101</v>
      </c>
      <c r="I41" s="49" t="s">
        <v>156</v>
      </c>
      <c r="J41" s="49" t="s">
        <v>260</v>
      </c>
      <c r="K41" s="49" t="s">
        <v>247</v>
      </c>
      <c r="L41" s="49">
        <v>3</v>
      </c>
      <c r="M41" s="37">
        <f>L41*5</f>
        <v>15</v>
      </c>
      <c r="N41" s="37">
        <v>20</v>
      </c>
      <c r="O41" s="64" t="s">
        <v>161</v>
      </c>
      <c r="P41" s="50">
        <v>2.98E-2</v>
      </c>
      <c r="Q41" s="38">
        <f>P41*N41</f>
        <v>0.59599999999999997</v>
      </c>
      <c r="R41" s="37"/>
      <c r="S41" s="56"/>
    </row>
    <row r="42" spans="1:26" s="59" customFormat="1" x14ac:dyDescent="0.25">
      <c r="A42" s="57"/>
      <c r="B42" s="46">
        <f>ROW(B42) - ROW($B$9)</f>
        <v>33</v>
      </c>
      <c r="C42" s="52" t="s">
        <v>22</v>
      </c>
      <c r="D42" s="69" t="s">
        <v>293</v>
      </c>
      <c r="E42" s="37" t="s">
        <v>290</v>
      </c>
      <c r="F42" s="37" t="s">
        <v>75</v>
      </c>
      <c r="G42" s="37" t="s">
        <v>291</v>
      </c>
      <c r="H42" s="37" t="s">
        <v>101</v>
      </c>
      <c r="I42" s="37" t="s">
        <v>156</v>
      </c>
      <c r="J42" s="37" t="s">
        <v>292</v>
      </c>
      <c r="K42" s="37" t="s">
        <v>145</v>
      </c>
      <c r="L42" s="37">
        <v>3</v>
      </c>
      <c r="M42" s="37">
        <f>L42*5</f>
        <v>15</v>
      </c>
      <c r="N42" s="70">
        <v>100</v>
      </c>
      <c r="O42" s="63" t="s">
        <v>161</v>
      </c>
      <c r="P42" s="38">
        <v>1.1000000000000001E-3</v>
      </c>
      <c r="Q42" s="50">
        <f>P42*N42</f>
        <v>0.11</v>
      </c>
      <c r="R42" s="60"/>
      <c r="S42" s="60" t="s">
        <v>156</v>
      </c>
    </row>
    <row r="43" spans="1:26" s="59" customFormat="1" x14ac:dyDescent="0.25">
      <c r="A43" s="57"/>
      <c r="B43" s="46">
        <f t="shared" si="0"/>
        <v>34</v>
      </c>
      <c r="C43" s="52" t="s">
        <v>22</v>
      </c>
      <c r="D43" s="49" t="s">
        <v>248</v>
      </c>
      <c r="E43" s="37" t="s">
        <v>60</v>
      </c>
      <c r="F43" s="37" t="s">
        <v>75</v>
      </c>
      <c r="G43" s="37" t="s">
        <v>96</v>
      </c>
      <c r="H43" s="37" t="s">
        <v>101</v>
      </c>
      <c r="I43" s="37" t="s">
        <v>156</v>
      </c>
      <c r="J43" s="37" t="s">
        <v>132</v>
      </c>
      <c r="K43" s="37" t="s">
        <v>146</v>
      </c>
      <c r="L43" s="37">
        <v>2</v>
      </c>
      <c r="M43" s="37">
        <f t="shared" si="2"/>
        <v>10</v>
      </c>
      <c r="N43" s="37">
        <v>100</v>
      </c>
      <c r="O43" s="63" t="s">
        <v>161</v>
      </c>
      <c r="P43" s="38">
        <v>1.1000000000000001E-3</v>
      </c>
      <c r="Q43" s="76">
        <f>P43*N43</f>
        <v>0.11</v>
      </c>
      <c r="R43" s="65"/>
      <c r="S43" s="56"/>
    </row>
    <row r="44" spans="1:26" s="59" customFormat="1" x14ac:dyDescent="0.25">
      <c r="A44" s="57"/>
      <c r="B44" s="47">
        <f t="shared" si="0"/>
        <v>35</v>
      </c>
      <c r="C44" s="52" t="s">
        <v>22</v>
      </c>
      <c r="D44" s="49" t="s">
        <v>249</v>
      </c>
      <c r="E44" s="49" t="s">
        <v>250</v>
      </c>
      <c r="F44" s="49" t="s">
        <v>75</v>
      </c>
      <c r="G44" s="49" t="s">
        <v>251</v>
      </c>
      <c r="H44" s="49" t="s">
        <v>101</v>
      </c>
      <c r="I44" s="49" t="s">
        <v>156</v>
      </c>
      <c r="J44" s="49" t="s">
        <v>252</v>
      </c>
      <c r="K44" s="49" t="s">
        <v>144</v>
      </c>
      <c r="L44" s="49">
        <v>2</v>
      </c>
      <c r="M44" s="37">
        <f t="shared" si="2"/>
        <v>10</v>
      </c>
      <c r="N44" s="37">
        <v>100</v>
      </c>
      <c r="O44" s="64" t="s">
        <v>161</v>
      </c>
      <c r="P44" s="50">
        <v>1.2999999999999999E-3</v>
      </c>
      <c r="Q44" s="38">
        <f>P44*N44</f>
        <v>0.13</v>
      </c>
      <c r="R44" s="37"/>
      <c r="S44" s="56"/>
    </row>
    <row r="45" spans="1:26" s="59" customFormat="1" x14ac:dyDescent="0.25">
      <c r="A45" s="57"/>
      <c r="B45" s="46">
        <f>ROW(B45) - ROW($B$9)</f>
        <v>36</v>
      </c>
      <c r="C45" s="51" t="s">
        <v>22</v>
      </c>
      <c r="D45" s="49" t="s">
        <v>313</v>
      </c>
      <c r="E45" s="37" t="s">
        <v>58</v>
      </c>
      <c r="F45" s="37" t="s">
        <v>75</v>
      </c>
      <c r="G45" s="37" t="s">
        <v>94</v>
      </c>
      <c r="H45" s="37" t="s">
        <v>101</v>
      </c>
      <c r="I45" s="37" t="s">
        <v>156</v>
      </c>
      <c r="J45" s="37" t="s">
        <v>130</v>
      </c>
      <c r="K45" s="37" t="s">
        <v>142</v>
      </c>
      <c r="L45" s="37">
        <v>4</v>
      </c>
      <c r="M45" s="37">
        <f t="shared" si="2"/>
        <v>20</v>
      </c>
      <c r="N45" s="49">
        <v>100</v>
      </c>
      <c r="O45" s="63" t="s">
        <v>161</v>
      </c>
      <c r="P45" s="38">
        <v>1.1000000000000001E-3</v>
      </c>
      <c r="Q45" s="50">
        <f t="shared" ref="Q45:Q48" si="20">P45*N45</f>
        <v>0.11</v>
      </c>
      <c r="R45" s="49"/>
      <c r="S45" s="56"/>
    </row>
    <row r="46" spans="1:26" x14ac:dyDescent="0.25">
      <c r="A46" s="1"/>
      <c r="B46" s="46">
        <f t="shared" ref="B46:B47" si="21">ROW(B46) - ROW($B$9)</f>
        <v>37</v>
      </c>
      <c r="C46" s="51" t="s">
        <v>22</v>
      </c>
      <c r="D46" s="37" t="s">
        <v>314</v>
      </c>
      <c r="E46" s="77" t="s">
        <v>327</v>
      </c>
      <c r="F46" s="37" t="s">
        <v>242</v>
      </c>
      <c r="G46" s="79" t="s">
        <v>318</v>
      </c>
      <c r="H46" s="37" t="s">
        <v>328</v>
      </c>
      <c r="I46" s="37" t="s">
        <v>336</v>
      </c>
      <c r="J46" s="37" t="s">
        <v>337</v>
      </c>
      <c r="K46" s="77" t="s">
        <v>330</v>
      </c>
      <c r="L46" s="37">
        <v>4</v>
      </c>
      <c r="M46" s="37">
        <f t="shared" si="2"/>
        <v>20</v>
      </c>
      <c r="N46" s="37">
        <v>40</v>
      </c>
      <c r="O46" s="63" t="s">
        <v>161</v>
      </c>
      <c r="P46" s="38">
        <v>2.4199999999999999E-2</v>
      </c>
      <c r="Q46" s="38">
        <f t="shared" si="20"/>
        <v>0.96799999999999997</v>
      </c>
      <c r="R46" s="37"/>
      <c r="S46" s="56"/>
      <c r="X46" s="59"/>
      <c r="Y46" s="59"/>
      <c r="Z46" s="59"/>
    </row>
    <row r="47" spans="1:26" x14ac:dyDescent="0.25">
      <c r="A47" s="1"/>
      <c r="B47" s="46">
        <f t="shared" si="21"/>
        <v>38</v>
      </c>
      <c r="C47" s="51" t="s">
        <v>22</v>
      </c>
      <c r="D47" s="49" t="s">
        <v>315</v>
      </c>
      <c r="E47" s="78" t="s">
        <v>329</v>
      </c>
      <c r="F47" s="49" t="s">
        <v>242</v>
      </c>
      <c r="G47" s="78" t="s">
        <v>319</v>
      </c>
      <c r="H47" s="49" t="s">
        <v>101</v>
      </c>
      <c r="I47" s="37" t="s">
        <v>156</v>
      </c>
      <c r="J47" s="37" t="s">
        <v>331</v>
      </c>
      <c r="K47" s="78" t="s">
        <v>143</v>
      </c>
      <c r="L47" s="37">
        <v>2</v>
      </c>
      <c r="M47" s="37">
        <f t="shared" si="2"/>
        <v>10</v>
      </c>
      <c r="N47" s="37">
        <v>100</v>
      </c>
      <c r="O47" s="63" t="s">
        <v>161</v>
      </c>
      <c r="P47" s="38">
        <v>5.9999999999999995E-4</v>
      </c>
      <c r="Q47" s="38">
        <f t="shared" si="20"/>
        <v>0.06</v>
      </c>
      <c r="R47" s="37"/>
      <c r="S47" s="56"/>
      <c r="X47" s="59"/>
      <c r="Y47" s="59"/>
      <c r="Z47" s="59"/>
    </row>
    <row r="48" spans="1:26" x14ac:dyDescent="0.25">
      <c r="A48" s="1"/>
      <c r="B48" s="46">
        <f>ROW(B48) - ROW($B$9)</f>
        <v>39</v>
      </c>
      <c r="C48" s="51" t="s">
        <v>22</v>
      </c>
      <c r="D48" s="37" t="s">
        <v>253</v>
      </c>
      <c r="E48" s="37" t="s">
        <v>254</v>
      </c>
      <c r="F48" s="37" t="s">
        <v>75</v>
      </c>
      <c r="G48" s="37" t="s">
        <v>255</v>
      </c>
      <c r="H48" s="37" t="s">
        <v>101</v>
      </c>
      <c r="I48" s="37" t="s">
        <v>156</v>
      </c>
      <c r="J48" s="37" t="s">
        <v>256</v>
      </c>
      <c r="K48" s="37" t="s">
        <v>257</v>
      </c>
      <c r="L48" s="37">
        <v>1</v>
      </c>
      <c r="M48" s="49">
        <f t="shared" si="2"/>
        <v>5</v>
      </c>
      <c r="N48" s="49">
        <v>100</v>
      </c>
      <c r="O48" s="63" t="s">
        <v>161</v>
      </c>
      <c r="P48" s="38">
        <v>1.4E-3</v>
      </c>
      <c r="Q48" s="50">
        <f t="shared" si="20"/>
        <v>0.13999999999999999</v>
      </c>
      <c r="R48" s="49"/>
      <c r="S48" s="56"/>
    </row>
    <row r="49" spans="1:26" s="59" customFormat="1" ht="24" x14ac:dyDescent="0.25">
      <c r="A49" s="57"/>
      <c r="B49" s="47">
        <f t="shared" si="0"/>
        <v>40</v>
      </c>
      <c r="C49" s="52" t="s">
        <v>23</v>
      </c>
      <c r="D49" s="61" t="s">
        <v>262</v>
      </c>
      <c r="E49" s="60" t="s">
        <v>62</v>
      </c>
      <c r="F49" s="60" t="s">
        <v>158</v>
      </c>
      <c r="G49" s="60" t="s">
        <v>23</v>
      </c>
      <c r="H49" s="60" t="s">
        <v>156</v>
      </c>
      <c r="I49" s="60" t="s">
        <v>156</v>
      </c>
      <c r="J49" s="60" t="s">
        <v>156</v>
      </c>
      <c r="K49" s="66" t="s">
        <v>156</v>
      </c>
      <c r="L49" s="60">
        <v>10</v>
      </c>
      <c r="M49" s="37">
        <f t="shared" si="2"/>
        <v>50</v>
      </c>
      <c r="N49" s="37">
        <v>100</v>
      </c>
      <c r="O49" s="60" t="s">
        <v>156</v>
      </c>
      <c r="P49" s="60" t="s">
        <v>156</v>
      </c>
      <c r="Q49" s="38" t="s">
        <v>156</v>
      </c>
      <c r="R49" s="37"/>
      <c r="S49" s="56"/>
    </row>
    <row r="50" spans="1:26" s="59" customFormat="1" ht="48" x14ac:dyDescent="0.25">
      <c r="A50" s="57"/>
      <c r="B50" s="46">
        <f>ROW(B50) - ROW($B$9)</f>
        <v>41</v>
      </c>
      <c r="C50" s="51" t="s">
        <v>24</v>
      </c>
      <c r="D50" s="69" t="s">
        <v>261</v>
      </c>
      <c r="E50" s="37" t="s">
        <v>63</v>
      </c>
      <c r="F50" s="49" t="s">
        <v>158</v>
      </c>
      <c r="G50" s="37" t="s">
        <v>77</v>
      </c>
      <c r="H50" s="37" t="s">
        <v>113</v>
      </c>
      <c r="I50" s="37" t="s">
        <v>156</v>
      </c>
      <c r="J50" s="37" t="s">
        <v>134</v>
      </c>
      <c r="K50" s="49" t="s">
        <v>156</v>
      </c>
      <c r="L50" s="37">
        <v>1</v>
      </c>
      <c r="M50" s="37">
        <f t="shared" si="2"/>
        <v>5</v>
      </c>
      <c r="N50" s="49">
        <v>20</v>
      </c>
      <c r="O50" s="63" t="s">
        <v>161</v>
      </c>
      <c r="P50" s="38">
        <v>2.1499999999999998E-2</v>
      </c>
      <c r="Q50" s="50">
        <f t="shared" ref="Q50" si="22">P50*N50</f>
        <v>0.42999999999999994</v>
      </c>
      <c r="R50" s="49"/>
      <c r="S50" s="56"/>
    </row>
    <row r="51" spans="1:26" s="59" customFormat="1" x14ac:dyDescent="0.25">
      <c r="A51" s="57"/>
      <c r="B51" s="46">
        <f>ROW(B51) - ROW($B$9)</f>
        <v>42</v>
      </c>
      <c r="C51" s="51" t="s">
        <v>302</v>
      </c>
      <c r="D51" s="49" t="s">
        <v>301</v>
      </c>
      <c r="E51" s="78" t="s">
        <v>332</v>
      </c>
      <c r="F51" s="49" t="s">
        <v>158</v>
      </c>
      <c r="G51" s="78" t="s">
        <v>320</v>
      </c>
      <c r="H51" s="49" t="s">
        <v>333</v>
      </c>
      <c r="I51" s="37" t="s">
        <v>156</v>
      </c>
      <c r="J51" s="37" t="s">
        <v>156</v>
      </c>
      <c r="K51" s="37" t="s">
        <v>156</v>
      </c>
      <c r="L51" s="37">
        <v>4</v>
      </c>
      <c r="M51" s="37">
        <f>L51*5</f>
        <v>20</v>
      </c>
      <c r="N51" s="37">
        <v>21</v>
      </c>
      <c r="O51" s="63" t="s">
        <v>341</v>
      </c>
      <c r="P51" s="38">
        <v>3.1840199999999999</v>
      </c>
      <c r="Q51" s="74">
        <f>P51*N51</f>
        <v>66.864419999999996</v>
      </c>
      <c r="R51" s="61"/>
      <c r="S51" s="62"/>
    </row>
    <row r="52" spans="1:26" s="59" customFormat="1" ht="48" x14ac:dyDescent="0.25">
      <c r="A52" s="57"/>
      <c r="B52" s="46">
        <f>ROW(B52) - ROW($B$9)</f>
        <v>43</v>
      </c>
      <c r="C52" s="51" t="s">
        <v>24</v>
      </c>
      <c r="D52" s="69" t="s">
        <v>303</v>
      </c>
      <c r="E52" s="37" t="s">
        <v>64</v>
      </c>
      <c r="F52" s="49" t="s">
        <v>158</v>
      </c>
      <c r="G52" s="37" t="s">
        <v>98</v>
      </c>
      <c r="H52" s="37" t="s">
        <v>113</v>
      </c>
      <c r="I52" s="37" t="s">
        <v>156</v>
      </c>
      <c r="J52" s="37" t="s">
        <v>135</v>
      </c>
      <c r="K52" s="49" t="s">
        <v>156</v>
      </c>
      <c r="L52" s="37">
        <v>1</v>
      </c>
      <c r="M52" s="37">
        <f t="shared" si="2"/>
        <v>5</v>
      </c>
      <c r="N52" s="37">
        <v>10</v>
      </c>
      <c r="O52" s="63" t="s">
        <v>161</v>
      </c>
      <c r="P52" s="38">
        <v>4.2799999999999998E-2</v>
      </c>
      <c r="Q52" s="38">
        <f>P52*N52</f>
        <v>0.42799999999999999</v>
      </c>
      <c r="R52" s="37"/>
      <c r="S52" s="56"/>
    </row>
    <row r="53" spans="1:26" s="59" customFormat="1" x14ac:dyDescent="0.25">
      <c r="A53" s="57"/>
      <c r="B53" s="47">
        <f t="shared" ref="B53:B55" si="23">ROW(B53) - ROW($B$9)</f>
        <v>44</v>
      </c>
      <c r="C53" s="52" t="s">
        <v>21</v>
      </c>
      <c r="D53" s="49" t="s">
        <v>36</v>
      </c>
      <c r="E53" s="49" t="s">
        <v>263</v>
      </c>
      <c r="F53" s="49" t="s">
        <v>264</v>
      </c>
      <c r="G53" s="49" t="s">
        <v>265</v>
      </c>
      <c r="H53" s="49" t="s">
        <v>266</v>
      </c>
      <c r="I53" s="49" t="s">
        <v>156</v>
      </c>
      <c r="J53" s="49" t="s">
        <v>267</v>
      </c>
      <c r="K53" s="49" t="s">
        <v>156</v>
      </c>
      <c r="L53" s="49">
        <v>1</v>
      </c>
      <c r="M53" s="37">
        <f t="shared" si="2"/>
        <v>5</v>
      </c>
      <c r="N53" s="49">
        <v>10</v>
      </c>
      <c r="O53" s="64" t="s">
        <v>161</v>
      </c>
      <c r="P53" s="50">
        <v>0.17979999999999999</v>
      </c>
      <c r="Q53" s="50">
        <f t="shared" ref="Q53" si="24">P53*N53</f>
        <v>1.7979999999999998</v>
      </c>
      <c r="R53" s="49"/>
      <c r="S53" s="56"/>
    </row>
    <row r="54" spans="1:26" s="59" customFormat="1" ht="24" x14ac:dyDescent="0.25">
      <c r="A54" s="57"/>
      <c r="B54" s="46">
        <f>ROW(B54) - ROW($B$9)</f>
        <v>45</v>
      </c>
      <c r="C54" s="51" t="s">
        <v>25</v>
      </c>
      <c r="D54" s="37" t="s">
        <v>37</v>
      </c>
      <c r="E54" s="37" t="s">
        <v>268</v>
      </c>
      <c r="F54" s="37" t="s">
        <v>269</v>
      </c>
      <c r="G54" s="37" t="s">
        <v>270</v>
      </c>
      <c r="H54" s="37" t="s">
        <v>115</v>
      </c>
      <c r="I54" s="37" t="s">
        <v>156</v>
      </c>
      <c r="J54" s="37" t="s">
        <v>271</v>
      </c>
      <c r="K54" s="37" t="s">
        <v>156</v>
      </c>
      <c r="L54" s="37">
        <v>1</v>
      </c>
      <c r="M54" s="37">
        <f t="shared" si="2"/>
        <v>5</v>
      </c>
      <c r="N54" s="37">
        <v>6</v>
      </c>
      <c r="O54" s="63" t="s">
        <v>161</v>
      </c>
      <c r="P54" s="38">
        <v>0.55530000000000002</v>
      </c>
      <c r="Q54" s="38">
        <f>P54*N54</f>
        <v>3.3318000000000003</v>
      </c>
      <c r="R54" s="37"/>
      <c r="S54" s="56"/>
    </row>
    <row r="55" spans="1:26" s="59" customFormat="1" ht="36" x14ac:dyDescent="0.25">
      <c r="A55" s="57"/>
      <c r="B55" s="47">
        <f t="shared" si="23"/>
        <v>46</v>
      </c>
      <c r="C55" s="52" t="s">
        <v>25</v>
      </c>
      <c r="D55" s="49" t="s">
        <v>38</v>
      </c>
      <c r="E55" s="49" t="s">
        <v>272</v>
      </c>
      <c r="F55" s="49" t="s">
        <v>273</v>
      </c>
      <c r="G55" s="49" t="s">
        <v>274</v>
      </c>
      <c r="H55" s="49" t="s">
        <v>115</v>
      </c>
      <c r="I55" s="49" t="s">
        <v>156</v>
      </c>
      <c r="J55" s="49" t="s">
        <v>275</v>
      </c>
      <c r="K55" s="49" t="s">
        <v>156</v>
      </c>
      <c r="L55" s="49">
        <v>1</v>
      </c>
      <c r="M55" s="37">
        <f t="shared" si="2"/>
        <v>5</v>
      </c>
      <c r="N55" s="49">
        <v>6</v>
      </c>
      <c r="O55" s="64" t="s">
        <v>161</v>
      </c>
      <c r="P55" s="50">
        <v>0.63639999999999997</v>
      </c>
      <c r="Q55" s="50">
        <f t="shared" ref="Q55" si="25">P55*N55</f>
        <v>3.8183999999999996</v>
      </c>
      <c r="R55" s="49"/>
      <c r="S55" s="56"/>
    </row>
    <row r="56" spans="1:26" s="59" customFormat="1" x14ac:dyDescent="0.25">
      <c r="A56" s="57"/>
      <c r="B56" s="47">
        <f t="shared" si="0"/>
        <v>47</v>
      </c>
      <c r="C56" s="52" t="s">
        <v>26</v>
      </c>
      <c r="D56" s="70" t="s">
        <v>39</v>
      </c>
      <c r="E56" s="49" t="s">
        <v>65</v>
      </c>
      <c r="F56" s="49" t="s">
        <v>79</v>
      </c>
      <c r="G56" s="49" t="s">
        <v>99</v>
      </c>
      <c r="H56" s="49" t="s">
        <v>116</v>
      </c>
      <c r="I56" s="49" t="s">
        <v>156</v>
      </c>
      <c r="J56" s="49" t="s">
        <v>136</v>
      </c>
      <c r="K56" s="49" t="s">
        <v>156</v>
      </c>
      <c r="L56" s="49">
        <v>1</v>
      </c>
      <c r="M56" s="37">
        <f t="shared" si="2"/>
        <v>5</v>
      </c>
      <c r="N56" s="37">
        <v>6</v>
      </c>
      <c r="O56" s="64" t="s">
        <v>161</v>
      </c>
      <c r="P56" s="50">
        <v>3.2519</v>
      </c>
      <c r="Q56" s="38">
        <f>P56*N56</f>
        <v>19.511400000000002</v>
      </c>
      <c r="R56" s="37"/>
      <c r="S56" s="56"/>
    </row>
    <row r="57" spans="1:26" s="59" customFormat="1" ht="24" x14ac:dyDescent="0.25">
      <c r="A57" s="57"/>
      <c r="B57" s="47">
        <f t="shared" si="0"/>
        <v>48</v>
      </c>
      <c r="C57" s="52" t="s">
        <v>25</v>
      </c>
      <c r="D57" s="49" t="s">
        <v>40</v>
      </c>
      <c r="E57" s="49" t="s">
        <v>167</v>
      </c>
      <c r="F57" s="49" t="s">
        <v>78</v>
      </c>
      <c r="G57" s="49" t="s">
        <v>168</v>
      </c>
      <c r="H57" s="49" t="s">
        <v>169</v>
      </c>
      <c r="I57" s="49" t="s">
        <v>156</v>
      </c>
      <c r="J57" s="49" t="s">
        <v>170</v>
      </c>
      <c r="K57" s="49" t="s">
        <v>156</v>
      </c>
      <c r="L57" s="49">
        <v>1</v>
      </c>
      <c r="M57" s="37">
        <f t="shared" si="2"/>
        <v>5</v>
      </c>
      <c r="N57" s="49">
        <v>10</v>
      </c>
      <c r="O57" s="64" t="s">
        <v>161</v>
      </c>
      <c r="P57" s="50">
        <v>0.16209999999999999</v>
      </c>
      <c r="Q57" s="50">
        <f t="shared" ref="Q57" si="26">P57*N57</f>
        <v>1.621</v>
      </c>
      <c r="R57" s="49"/>
      <c r="S57" s="56"/>
    </row>
    <row r="58" spans="1:26" s="59" customFormat="1" x14ac:dyDescent="0.25">
      <c r="A58" s="57"/>
      <c r="B58" s="46">
        <f>ROW(B58) - ROW($B$9)</f>
        <v>49</v>
      </c>
      <c r="C58" s="51" t="s">
        <v>25</v>
      </c>
      <c r="D58" s="37" t="s">
        <v>41</v>
      </c>
      <c r="E58" s="37" t="s">
        <v>276</v>
      </c>
      <c r="F58" s="37" t="s">
        <v>277</v>
      </c>
      <c r="G58" s="37" t="s">
        <v>278</v>
      </c>
      <c r="H58" s="37" t="s">
        <v>279</v>
      </c>
      <c r="I58" s="37" t="s">
        <v>156</v>
      </c>
      <c r="J58" s="37" t="s">
        <v>280</v>
      </c>
      <c r="K58" s="37" t="s">
        <v>156</v>
      </c>
      <c r="L58" s="37">
        <v>1</v>
      </c>
      <c r="M58" s="37">
        <f t="shared" si="2"/>
        <v>5</v>
      </c>
      <c r="N58" s="37">
        <v>6</v>
      </c>
      <c r="O58" s="63" t="s">
        <v>161</v>
      </c>
      <c r="P58" s="38">
        <v>1.2776000000000001</v>
      </c>
      <c r="Q58" s="38">
        <f>P58*N58</f>
        <v>7.6656000000000004</v>
      </c>
      <c r="R58" s="37"/>
      <c r="S58" s="56"/>
    </row>
    <row r="59" spans="1:26" s="59" customFormat="1" ht="24" x14ac:dyDescent="0.25">
      <c r="A59" s="57"/>
      <c r="B59" s="47">
        <f t="shared" si="0"/>
        <v>50</v>
      </c>
      <c r="C59" s="52" t="s">
        <v>25</v>
      </c>
      <c r="D59" s="49" t="s">
        <v>174</v>
      </c>
      <c r="E59" s="49" t="s">
        <v>281</v>
      </c>
      <c r="F59" s="49" t="s">
        <v>282</v>
      </c>
      <c r="G59" s="49" t="s">
        <v>283</v>
      </c>
      <c r="H59" s="49" t="s">
        <v>114</v>
      </c>
      <c r="I59" s="49" t="s">
        <v>156</v>
      </c>
      <c r="J59" s="49" t="s">
        <v>284</v>
      </c>
      <c r="K59" s="49" t="s">
        <v>156</v>
      </c>
      <c r="L59" s="49">
        <v>1</v>
      </c>
      <c r="M59" s="37">
        <f t="shared" si="2"/>
        <v>5</v>
      </c>
      <c r="N59" s="49">
        <v>6</v>
      </c>
      <c r="O59" s="64" t="s">
        <v>161</v>
      </c>
      <c r="P59" s="50">
        <v>0.11070000000000001</v>
      </c>
      <c r="Q59" s="50">
        <f t="shared" ref="Q59" si="27">P59*N59</f>
        <v>0.66420000000000001</v>
      </c>
      <c r="R59" s="49"/>
      <c r="S59" s="56"/>
    </row>
    <row r="60" spans="1:26" s="59" customFormat="1" x14ac:dyDescent="0.25">
      <c r="A60" s="57"/>
      <c r="B60" s="46">
        <f>ROW(B60) - ROW($B$9)</f>
        <v>51</v>
      </c>
      <c r="C60" s="51" t="s">
        <v>25</v>
      </c>
      <c r="D60" s="37" t="s">
        <v>285</v>
      </c>
      <c r="E60" s="37" t="s">
        <v>286</v>
      </c>
      <c r="F60" s="37" t="s">
        <v>287</v>
      </c>
      <c r="G60" s="37" t="s">
        <v>288</v>
      </c>
      <c r="H60" s="37" t="s">
        <v>279</v>
      </c>
      <c r="I60" s="37" t="s">
        <v>156</v>
      </c>
      <c r="J60" s="37" t="s">
        <v>289</v>
      </c>
      <c r="K60" s="37" t="s">
        <v>156</v>
      </c>
      <c r="L60" s="37">
        <v>1</v>
      </c>
      <c r="M60" s="37">
        <f t="shared" si="2"/>
        <v>5</v>
      </c>
      <c r="N60" s="37">
        <v>6</v>
      </c>
      <c r="O60" s="63" t="s">
        <v>161</v>
      </c>
      <c r="P60" s="38">
        <v>0.84799999999999998</v>
      </c>
      <c r="Q60" s="38">
        <f>P60*N60</f>
        <v>5.0880000000000001</v>
      </c>
      <c r="R60" s="37"/>
      <c r="S60" s="56"/>
    </row>
    <row r="61" spans="1:26" x14ac:dyDescent="0.25">
      <c r="A61" s="1"/>
      <c r="B61" s="46">
        <v>52</v>
      </c>
      <c r="C61" s="51" t="s">
        <v>309</v>
      </c>
      <c r="D61" s="37" t="s">
        <v>172</v>
      </c>
      <c r="E61" s="37" t="s">
        <v>339</v>
      </c>
      <c r="F61" s="37" t="s">
        <v>156</v>
      </c>
      <c r="G61" s="37" t="s">
        <v>310</v>
      </c>
      <c r="H61" s="37" t="s">
        <v>156</v>
      </c>
      <c r="I61" s="37" t="s">
        <v>156</v>
      </c>
      <c r="J61" s="37" t="s">
        <v>340</v>
      </c>
      <c r="K61" s="37" t="s">
        <v>156</v>
      </c>
      <c r="L61" s="37">
        <v>1</v>
      </c>
      <c r="M61" s="37">
        <f t="shared" si="2"/>
        <v>5</v>
      </c>
      <c r="N61" s="37">
        <v>6</v>
      </c>
      <c r="O61" s="63" t="s">
        <v>161</v>
      </c>
      <c r="P61" s="38">
        <v>1.9028</v>
      </c>
      <c r="Q61" s="38">
        <f>P61*N61</f>
        <v>11.4168</v>
      </c>
      <c r="R61" s="37"/>
      <c r="S61" s="56"/>
      <c r="X61" s="59"/>
      <c r="Y61" s="59"/>
      <c r="Z61" s="59"/>
    </row>
    <row r="62" spans="1:26" s="59" customFormat="1" ht="48" x14ac:dyDescent="0.25">
      <c r="A62" s="57"/>
      <c r="B62" s="47">
        <f t="shared" si="0"/>
        <v>53</v>
      </c>
      <c r="C62" s="51" t="s">
        <v>171</v>
      </c>
      <c r="D62" s="37" t="s">
        <v>172</v>
      </c>
      <c r="E62" s="37" t="s">
        <v>334</v>
      </c>
      <c r="F62" s="49" t="s">
        <v>156</v>
      </c>
      <c r="G62" s="49" t="s">
        <v>156</v>
      </c>
      <c r="H62" s="49" t="s">
        <v>156</v>
      </c>
      <c r="I62" s="49" t="s">
        <v>156</v>
      </c>
      <c r="J62" s="49" t="s">
        <v>156</v>
      </c>
      <c r="K62" s="49" t="s">
        <v>156</v>
      </c>
      <c r="L62" s="49">
        <v>1</v>
      </c>
      <c r="M62" s="37">
        <f t="shared" si="2"/>
        <v>5</v>
      </c>
      <c r="N62" s="49">
        <v>5</v>
      </c>
      <c r="O62" s="63" t="s">
        <v>173</v>
      </c>
      <c r="P62" s="50">
        <v>8.33</v>
      </c>
      <c r="Q62" s="50">
        <f t="shared" ref="Q62:Q63" si="28">P62*N62</f>
        <v>41.65</v>
      </c>
      <c r="R62" s="49"/>
      <c r="S62" s="56"/>
    </row>
    <row r="63" spans="1:26" s="59" customFormat="1" ht="60.75" thickBot="1" x14ac:dyDescent="0.3">
      <c r="A63" s="57"/>
      <c r="B63" s="47">
        <f t="shared" si="0"/>
        <v>54</v>
      </c>
      <c r="C63" s="51" t="s">
        <v>335</v>
      </c>
      <c r="D63" s="37" t="s">
        <v>172</v>
      </c>
      <c r="E63" s="37" t="s">
        <v>338</v>
      </c>
      <c r="F63" s="49" t="s">
        <v>156</v>
      </c>
      <c r="G63" s="49" t="s">
        <v>156</v>
      </c>
      <c r="H63" s="49" t="s">
        <v>156</v>
      </c>
      <c r="I63" s="49" t="s">
        <v>156</v>
      </c>
      <c r="J63" s="49" t="s">
        <v>156</v>
      </c>
      <c r="K63" s="49" t="s">
        <v>156</v>
      </c>
      <c r="L63" s="49">
        <v>1</v>
      </c>
      <c r="M63" s="37">
        <f t="shared" si="2"/>
        <v>5</v>
      </c>
      <c r="N63" s="49">
        <v>5</v>
      </c>
      <c r="O63" s="63" t="s">
        <v>173</v>
      </c>
      <c r="P63" s="50">
        <v>0.66</v>
      </c>
      <c r="Q63" s="50">
        <f t="shared" si="28"/>
        <v>3.3000000000000003</v>
      </c>
      <c r="R63" s="49"/>
      <c r="S63" s="56"/>
    </row>
    <row r="64" spans="1:26" ht="19.5" thickBot="1" x14ac:dyDescent="0.3">
      <c r="A64" s="1"/>
      <c r="B64" s="40"/>
      <c r="C64" s="41"/>
      <c r="D64" s="42"/>
      <c r="E64" s="43"/>
      <c r="F64" s="44"/>
      <c r="G64" s="45"/>
      <c r="H64" s="44"/>
      <c r="I64" s="45"/>
      <c r="J64" s="44"/>
      <c r="K64" s="45"/>
      <c r="L64" s="45"/>
      <c r="M64" s="45"/>
      <c r="N64" s="80" t="s">
        <v>5</v>
      </c>
      <c r="O64" s="81"/>
      <c r="P64" s="81"/>
      <c r="Q64" s="48">
        <f>SUM(Q10:Q62)</f>
        <v>191.21681999999998</v>
      </c>
      <c r="R64" s="45"/>
      <c r="S64" s="45"/>
    </row>
    <row r="65" spans="1:19" s="59" customFormat="1" ht="19.5" thickBot="1" x14ac:dyDescent="0.3">
      <c r="A65" s="57"/>
      <c r="B65" s="25"/>
      <c r="C65" s="36"/>
      <c r="D65" s="9"/>
      <c r="E65" s="10"/>
      <c r="F65" s="10"/>
      <c r="G65" s="10"/>
      <c r="H65" s="10"/>
      <c r="I65" s="10"/>
      <c r="J65" s="10"/>
      <c r="K65" s="10"/>
      <c r="L65" s="10"/>
      <c r="M65" s="10"/>
      <c r="N65" s="80" t="s">
        <v>6</v>
      </c>
      <c r="O65" s="81"/>
      <c r="P65" s="81"/>
      <c r="Q65" s="48">
        <f>Q64/5</f>
        <v>38.243364</v>
      </c>
      <c r="R65" s="10"/>
      <c r="S65" s="10"/>
    </row>
    <row r="77" spans="1:19" ht="15.75" x14ac:dyDescent="0.25">
      <c r="N77" s="67"/>
    </row>
  </sheetData>
  <mergeCells count="4">
    <mergeCell ref="N64:P64"/>
    <mergeCell ref="N65:P65"/>
    <mergeCell ref="K1:S1"/>
    <mergeCell ref="S3:S8"/>
  </mergeCells>
  <hyperlinks>
    <hyperlink ref="O12" r:id="rId1"/>
    <hyperlink ref="O15" r:id="rId2"/>
    <hyperlink ref="O10" r:id="rId3"/>
    <hyperlink ref="O11" r:id="rId4"/>
    <hyperlink ref="O18" r:id="rId5"/>
    <hyperlink ref="O23" r:id="rId6"/>
    <hyperlink ref="O22" r:id="rId7"/>
    <hyperlink ref="O24" r:id="rId8"/>
    <hyperlink ref="O28" r:id="rId9"/>
    <hyperlink ref="O29" r:id="rId10"/>
    <hyperlink ref="O32" r:id="rId11"/>
    <hyperlink ref="O33" r:id="rId12"/>
    <hyperlink ref="O39" r:id="rId13"/>
    <hyperlink ref="O43" r:id="rId14"/>
    <hyperlink ref="O35" r:id="rId15"/>
    <hyperlink ref="O50" r:id="rId16"/>
    <hyperlink ref="O52" r:id="rId17"/>
    <hyperlink ref="O56" r:id="rId18"/>
    <hyperlink ref="O14" r:id="rId19"/>
    <hyperlink ref="O16" r:id="rId20"/>
    <hyperlink ref="O17" r:id="rId21"/>
    <hyperlink ref="O19" r:id="rId22"/>
    <hyperlink ref="O21" r:id="rId23"/>
    <hyperlink ref="O26" r:id="rId24"/>
    <hyperlink ref="O27" r:id="rId25"/>
    <hyperlink ref="O30" r:id="rId26"/>
    <hyperlink ref="O36" r:id="rId27"/>
    <hyperlink ref="O37" r:id="rId28"/>
    <hyperlink ref="O38" r:id="rId29"/>
    <hyperlink ref="O40" r:id="rId30"/>
    <hyperlink ref="O42" r:id="rId31"/>
    <hyperlink ref="O44" r:id="rId32"/>
    <hyperlink ref="O45" r:id="rId33"/>
    <hyperlink ref="O48" r:id="rId34"/>
    <hyperlink ref="O41" r:id="rId35"/>
    <hyperlink ref="O53" r:id="rId36"/>
    <hyperlink ref="O54" r:id="rId37"/>
    <hyperlink ref="O55" r:id="rId38"/>
    <hyperlink ref="O57" r:id="rId39"/>
    <hyperlink ref="O58" r:id="rId40"/>
    <hyperlink ref="O59" r:id="rId41"/>
    <hyperlink ref="O60" r:id="rId42"/>
    <hyperlink ref="O25" r:id="rId43"/>
    <hyperlink ref="O13" r:id="rId44"/>
    <hyperlink ref="O20" r:id="rId45"/>
    <hyperlink ref="O34" r:id="rId46"/>
    <hyperlink ref="O47" r:id="rId47"/>
    <hyperlink ref="O62" r:id="rId48"/>
    <hyperlink ref="O63" r:id="rId49"/>
    <hyperlink ref="O46" r:id="rId50"/>
    <hyperlink ref="O61" r:id="rId51"/>
    <hyperlink ref="O51" r:id="rId52"/>
  </hyperlinks>
  <pageMargins left="0.7" right="0.7" top="0.75" bottom="0.75" header="0.3" footer="0.3"/>
  <pageSetup paperSize="9" orientation="portrait" r:id="rId53"/>
  <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5"/>
  <sheetViews>
    <sheetView tabSelected="1" topLeftCell="A50" workbookViewId="0">
      <selection activeCell="F67" sqref="F67"/>
    </sheetView>
  </sheetViews>
  <sheetFormatPr defaultRowHeight="15" x14ac:dyDescent="0.25"/>
  <cols>
    <col min="2" max="2" width="3" bestFit="1" customWidth="1"/>
    <col min="3" max="3" width="10.5703125" customWidth="1"/>
    <col min="4" max="4" width="31.140625" bestFit="1" customWidth="1"/>
    <col min="5" max="5" width="28.85546875" customWidth="1"/>
    <col min="6" max="6" width="16.140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8554687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1.42578125" customWidth="1"/>
    <col min="16" max="16" width="19.7109375" bestFit="1" customWidth="1"/>
    <col min="17" max="17" width="20.28515625" bestFit="1" customWidth="1"/>
    <col min="19" max="19" width="26.28515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86"/>
      <c r="L1" s="86"/>
      <c r="M1" s="86"/>
      <c r="N1" s="86"/>
      <c r="O1" s="86"/>
      <c r="P1" s="86"/>
      <c r="Q1" s="86"/>
      <c r="R1" s="86"/>
      <c r="S1" s="87"/>
    </row>
    <row r="2" spans="1:19" ht="32.25" thickBot="1" x14ac:dyDescent="0.3">
      <c r="A2" s="1"/>
      <c r="B2" s="21"/>
      <c r="C2" s="31"/>
      <c r="D2" s="11" t="s">
        <v>0</v>
      </c>
      <c r="E2" s="11"/>
      <c r="F2" s="53" t="s">
        <v>159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4" t="s">
        <v>160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8"/>
    </row>
    <row r="4" spans="1:19" x14ac:dyDescent="0.25">
      <c r="A4" s="1"/>
      <c r="B4" s="22"/>
      <c r="C4" s="32"/>
      <c r="D4" s="13" t="s">
        <v>2</v>
      </c>
      <c r="E4" s="13"/>
      <c r="F4" s="54" t="s">
        <v>160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9"/>
    </row>
    <row r="5" spans="1:19" x14ac:dyDescent="0.25">
      <c r="A5" s="1"/>
      <c r="B5" s="22"/>
      <c r="C5" s="32"/>
      <c r="D5" s="13" t="s">
        <v>3</v>
      </c>
      <c r="E5" s="13"/>
      <c r="F5" s="55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9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9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9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9"/>
    </row>
    <row r="9" spans="1:19" ht="15.75" thickBot="1" x14ac:dyDescent="0.3">
      <c r="A9" s="1"/>
      <c r="B9" s="30" t="s">
        <v>4</v>
      </c>
      <c r="C9" s="30" t="s">
        <v>8</v>
      </c>
      <c r="D9" s="30" t="s">
        <v>27</v>
      </c>
      <c r="E9" s="30" t="s">
        <v>42</v>
      </c>
      <c r="F9" s="30" t="s">
        <v>66</v>
      </c>
      <c r="G9" s="30" t="s">
        <v>80</v>
      </c>
      <c r="H9" s="30" t="s">
        <v>100</v>
      </c>
      <c r="I9" s="30" t="s">
        <v>149</v>
      </c>
      <c r="J9" s="30" t="s">
        <v>117</v>
      </c>
      <c r="K9" s="30" t="s">
        <v>157</v>
      </c>
      <c r="L9" s="30" t="s">
        <v>148</v>
      </c>
      <c r="M9" s="30" t="s">
        <v>305</v>
      </c>
      <c r="N9" s="30" t="s">
        <v>306</v>
      </c>
      <c r="O9" s="30" t="s">
        <v>152</v>
      </c>
      <c r="P9" s="30" t="s">
        <v>307</v>
      </c>
      <c r="Q9" s="30" t="s">
        <v>308</v>
      </c>
      <c r="R9" s="30" t="s">
        <v>154</v>
      </c>
      <c r="S9" s="30" t="s">
        <v>155</v>
      </c>
    </row>
    <row r="10" spans="1:19" s="59" customFormat="1" x14ac:dyDescent="0.25">
      <c r="A10" s="57"/>
      <c r="B10" s="47">
        <f t="shared" ref="B10:B63" si="0">ROW(B10) - ROW($B$9)</f>
        <v>1</v>
      </c>
      <c r="C10" s="51" t="s">
        <v>9</v>
      </c>
      <c r="D10" s="37" t="s">
        <v>298</v>
      </c>
      <c r="E10" s="49" t="s">
        <v>46</v>
      </c>
      <c r="F10" s="49" t="s">
        <v>68</v>
      </c>
      <c r="G10" s="49" t="s">
        <v>84</v>
      </c>
      <c r="H10" s="49" t="s">
        <v>101</v>
      </c>
      <c r="I10" s="49" t="s">
        <v>156</v>
      </c>
      <c r="J10" s="49" t="s">
        <v>121</v>
      </c>
      <c r="K10" s="49" t="s">
        <v>141</v>
      </c>
      <c r="L10" s="37">
        <v>6</v>
      </c>
      <c r="M10" s="37">
        <f>L10*50</f>
        <v>300</v>
      </c>
      <c r="N10" s="37">
        <v>310</v>
      </c>
      <c r="O10" s="64" t="s">
        <v>161</v>
      </c>
      <c r="P10" s="50">
        <v>2.9600000000000001E-2</v>
      </c>
      <c r="Q10" s="38">
        <f>P10*N10</f>
        <v>9.1760000000000002</v>
      </c>
      <c r="R10" s="37"/>
      <c r="S10" s="58"/>
    </row>
    <row r="11" spans="1:19" s="59" customFormat="1" ht="24" x14ac:dyDescent="0.25">
      <c r="A11" s="57"/>
      <c r="B11" s="47">
        <f>ROW(B11) - ROW($B$9)</f>
        <v>2</v>
      </c>
      <c r="C11" s="52" t="s">
        <v>9</v>
      </c>
      <c r="D11" s="49" t="s">
        <v>295</v>
      </c>
      <c r="E11" s="49" t="s">
        <v>47</v>
      </c>
      <c r="F11" s="49" t="s">
        <v>69</v>
      </c>
      <c r="G11" s="49" t="s">
        <v>85</v>
      </c>
      <c r="H11" s="49" t="s">
        <v>101</v>
      </c>
      <c r="I11" s="49" t="s">
        <v>156</v>
      </c>
      <c r="J11" s="49" t="s">
        <v>122</v>
      </c>
      <c r="K11" s="49" t="s">
        <v>140</v>
      </c>
      <c r="L11" s="49">
        <v>15</v>
      </c>
      <c r="M11" s="37">
        <f t="shared" ref="M11:M63" si="1">L11*50</f>
        <v>750</v>
      </c>
      <c r="N11" s="49">
        <v>800</v>
      </c>
      <c r="O11" s="64" t="s">
        <v>161</v>
      </c>
      <c r="P11" s="50">
        <v>1.9E-3</v>
      </c>
      <c r="Q11" s="50">
        <f t="shared" ref="Q11" si="2">P11*N11</f>
        <v>1.52</v>
      </c>
      <c r="R11" s="49"/>
      <c r="S11" s="56"/>
    </row>
    <row r="12" spans="1:19" s="59" customFormat="1" x14ac:dyDescent="0.25">
      <c r="A12" s="57"/>
      <c r="B12" s="46">
        <f>ROW(B12) - ROW($B$9)</f>
        <v>3</v>
      </c>
      <c r="C12" s="51" t="s">
        <v>9</v>
      </c>
      <c r="D12" s="37" t="s">
        <v>296</v>
      </c>
      <c r="E12" s="37" t="s">
        <v>43</v>
      </c>
      <c r="F12" s="37" t="s">
        <v>67</v>
      </c>
      <c r="G12" s="37" t="s">
        <v>81</v>
      </c>
      <c r="H12" s="37" t="s">
        <v>101</v>
      </c>
      <c r="I12" s="37" t="s">
        <v>156</v>
      </c>
      <c r="J12" s="37" t="s">
        <v>118</v>
      </c>
      <c r="K12" s="37" t="s">
        <v>137</v>
      </c>
      <c r="L12" s="37">
        <v>4</v>
      </c>
      <c r="M12" s="37">
        <f t="shared" si="1"/>
        <v>200</v>
      </c>
      <c r="N12" s="37">
        <v>250</v>
      </c>
      <c r="O12" s="63" t="s">
        <v>161</v>
      </c>
      <c r="P12" s="38">
        <v>1.54E-2</v>
      </c>
      <c r="Q12" s="38">
        <f>P12*N12</f>
        <v>3.85</v>
      </c>
      <c r="R12" s="37"/>
      <c r="S12" s="56"/>
    </row>
    <row r="13" spans="1:19" s="59" customFormat="1" x14ac:dyDescent="0.25">
      <c r="A13" s="57"/>
      <c r="B13" s="47">
        <f t="shared" ref="B13" si="3">ROW(B13) - ROW($B$9)</f>
        <v>4</v>
      </c>
      <c r="C13" s="51" t="s">
        <v>9</v>
      </c>
      <c r="D13" s="49" t="s">
        <v>166</v>
      </c>
      <c r="E13" s="49" t="s">
        <v>177</v>
      </c>
      <c r="F13" s="49" t="s">
        <v>69</v>
      </c>
      <c r="G13" s="49" t="s">
        <v>178</v>
      </c>
      <c r="H13" s="49" t="s">
        <v>101</v>
      </c>
      <c r="I13" s="49" t="s">
        <v>156</v>
      </c>
      <c r="J13" s="49" t="s">
        <v>179</v>
      </c>
      <c r="K13" s="49" t="s">
        <v>180</v>
      </c>
      <c r="L13" s="49">
        <v>2</v>
      </c>
      <c r="M13" s="37">
        <f t="shared" si="1"/>
        <v>100</v>
      </c>
      <c r="N13" s="37">
        <v>200</v>
      </c>
      <c r="O13" s="64" t="s">
        <v>161</v>
      </c>
      <c r="P13" s="50">
        <v>2.5000000000000001E-3</v>
      </c>
      <c r="Q13" s="38">
        <f>P13*N13</f>
        <v>0.5</v>
      </c>
      <c r="R13" s="37"/>
      <c r="S13" s="56"/>
    </row>
    <row r="14" spans="1:19" s="59" customFormat="1" x14ac:dyDescent="0.25">
      <c r="A14" s="57"/>
      <c r="B14" s="47">
        <f t="shared" si="0"/>
        <v>5</v>
      </c>
      <c r="C14" s="51" t="s">
        <v>9</v>
      </c>
      <c r="D14" s="37" t="s">
        <v>175</v>
      </c>
      <c r="E14" s="49" t="s">
        <v>45</v>
      </c>
      <c r="F14" s="49" t="s">
        <v>67</v>
      </c>
      <c r="G14" s="49" t="s">
        <v>83</v>
      </c>
      <c r="H14" s="49" t="s">
        <v>101</v>
      </c>
      <c r="I14" s="49" t="s">
        <v>156</v>
      </c>
      <c r="J14" s="49" t="s">
        <v>120</v>
      </c>
      <c r="K14" s="49" t="s">
        <v>139</v>
      </c>
      <c r="L14" s="49">
        <v>5</v>
      </c>
      <c r="M14" s="37">
        <f t="shared" si="1"/>
        <v>250</v>
      </c>
      <c r="N14" s="49">
        <v>300</v>
      </c>
      <c r="O14" s="64" t="s">
        <v>161</v>
      </c>
      <c r="P14" s="50">
        <v>5.4999999999999997E-3</v>
      </c>
      <c r="Q14" s="50">
        <f t="shared" ref="Q14" si="4">P14*N14</f>
        <v>1.65</v>
      </c>
      <c r="R14" s="49"/>
      <c r="S14" s="56"/>
    </row>
    <row r="15" spans="1:19" s="59" customFormat="1" x14ac:dyDescent="0.25">
      <c r="A15" s="57"/>
      <c r="B15" s="47">
        <f t="shared" si="0"/>
        <v>6</v>
      </c>
      <c r="C15" s="51" t="s">
        <v>9</v>
      </c>
      <c r="D15" s="37" t="s">
        <v>297</v>
      </c>
      <c r="E15" s="49" t="s">
        <v>44</v>
      </c>
      <c r="F15" s="49" t="s">
        <v>67</v>
      </c>
      <c r="G15" s="49" t="s">
        <v>82</v>
      </c>
      <c r="H15" s="49" t="s">
        <v>101</v>
      </c>
      <c r="I15" s="49" t="s">
        <v>156</v>
      </c>
      <c r="J15" s="49" t="s">
        <v>119</v>
      </c>
      <c r="K15" s="49" t="s">
        <v>138</v>
      </c>
      <c r="L15" s="49">
        <v>4</v>
      </c>
      <c r="M15" s="37">
        <f t="shared" si="1"/>
        <v>200</v>
      </c>
      <c r="N15" s="37">
        <v>220</v>
      </c>
      <c r="O15" s="64" t="s">
        <v>161</v>
      </c>
      <c r="P15" s="50">
        <v>3.7199999999999997E-2</v>
      </c>
      <c r="Q15" s="38">
        <f>P15*N15</f>
        <v>8.1839999999999993</v>
      </c>
      <c r="R15" s="37"/>
      <c r="S15" s="56"/>
    </row>
    <row r="16" spans="1:19" s="59" customFormat="1" x14ac:dyDescent="0.25">
      <c r="A16" s="57"/>
      <c r="B16" s="47">
        <f t="shared" si="0"/>
        <v>7</v>
      </c>
      <c r="C16" s="52" t="s">
        <v>9</v>
      </c>
      <c r="D16" s="49" t="s">
        <v>181</v>
      </c>
      <c r="E16" s="49" t="s">
        <v>182</v>
      </c>
      <c r="F16" s="49" t="s">
        <v>183</v>
      </c>
      <c r="G16" s="49" t="s">
        <v>184</v>
      </c>
      <c r="H16" s="49" t="s">
        <v>101</v>
      </c>
      <c r="I16" s="49" t="s">
        <v>156</v>
      </c>
      <c r="J16" s="49" t="s">
        <v>185</v>
      </c>
      <c r="K16" s="49" t="s">
        <v>186</v>
      </c>
      <c r="L16" s="49">
        <v>1</v>
      </c>
      <c r="M16" s="37">
        <f t="shared" si="1"/>
        <v>50</v>
      </c>
      <c r="N16" s="49">
        <v>100</v>
      </c>
      <c r="O16" s="64" t="s">
        <v>161</v>
      </c>
      <c r="P16" s="50">
        <v>4.0000000000000001E-3</v>
      </c>
      <c r="Q16" s="50">
        <f t="shared" ref="Q16" si="5">P16*N16</f>
        <v>0.4</v>
      </c>
      <c r="R16" s="49"/>
      <c r="S16" s="56"/>
    </row>
    <row r="17" spans="1:19" s="59" customFormat="1" x14ac:dyDescent="0.25">
      <c r="A17" s="57"/>
      <c r="B17" s="46">
        <f>ROW(B17) - ROW($B$9)</f>
        <v>8</v>
      </c>
      <c r="C17" s="51" t="s">
        <v>10</v>
      </c>
      <c r="D17" s="37" t="s">
        <v>187</v>
      </c>
      <c r="E17" s="37" t="s">
        <v>188</v>
      </c>
      <c r="F17" s="37" t="s">
        <v>189</v>
      </c>
      <c r="G17" s="37" t="s">
        <v>190</v>
      </c>
      <c r="H17" s="37" t="s">
        <v>104</v>
      </c>
      <c r="I17" s="37" t="s">
        <v>156</v>
      </c>
      <c r="J17" s="37" t="s">
        <v>191</v>
      </c>
      <c r="K17" s="37" t="s">
        <v>156</v>
      </c>
      <c r="L17" s="37">
        <v>1</v>
      </c>
      <c r="M17" s="37">
        <f t="shared" si="1"/>
        <v>50</v>
      </c>
      <c r="N17" s="37">
        <v>60</v>
      </c>
      <c r="O17" s="63" t="s">
        <v>161</v>
      </c>
      <c r="P17" s="38">
        <v>6.4299999999999996E-2</v>
      </c>
      <c r="Q17" s="38">
        <f>P17*N17</f>
        <v>3.8579999999999997</v>
      </c>
      <c r="R17" s="37"/>
      <c r="S17" s="56"/>
    </row>
    <row r="18" spans="1:19" s="59" customFormat="1" ht="36" x14ac:dyDescent="0.25">
      <c r="A18" s="57"/>
      <c r="B18" s="47">
        <f t="shared" si="0"/>
        <v>9</v>
      </c>
      <c r="C18" s="51" t="s">
        <v>10</v>
      </c>
      <c r="D18" s="70" t="s">
        <v>28</v>
      </c>
      <c r="E18" s="49" t="s">
        <v>48</v>
      </c>
      <c r="F18" s="49" t="s">
        <v>70</v>
      </c>
      <c r="G18" s="49" t="s">
        <v>86</v>
      </c>
      <c r="H18" s="49" t="s">
        <v>103</v>
      </c>
      <c r="I18" s="49" t="s">
        <v>156</v>
      </c>
      <c r="J18" s="49" t="s">
        <v>123</v>
      </c>
      <c r="K18" s="49" t="s">
        <v>156</v>
      </c>
      <c r="L18" s="49">
        <v>1</v>
      </c>
      <c r="M18" s="37">
        <f t="shared" si="1"/>
        <v>50</v>
      </c>
      <c r="N18" s="37">
        <v>110</v>
      </c>
      <c r="O18" s="64" t="s">
        <v>161</v>
      </c>
      <c r="P18" s="50">
        <v>3.2599999999999997E-2</v>
      </c>
      <c r="Q18" s="38">
        <f>P18*N18</f>
        <v>3.5859999999999999</v>
      </c>
      <c r="R18" s="37"/>
      <c r="S18" s="56"/>
    </row>
    <row r="19" spans="1:19" s="59" customFormat="1" ht="36" x14ac:dyDescent="0.25">
      <c r="A19" s="57"/>
      <c r="B19" s="46">
        <f t="shared" si="0"/>
        <v>10</v>
      </c>
      <c r="C19" s="51" t="s">
        <v>11</v>
      </c>
      <c r="D19" s="37" t="s">
        <v>29</v>
      </c>
      <c r="E19" s="37" t="s">
        <v>193</v>
      </c>
      <c r="F19" s="37" t="s">
        <v>194</v>
      </c>
      <c r="G19" s="37" t="s">
        <v>195</v>
      </c>
      <c r="H19" s="37" t="s">
        <v>105</v>
      </c>
      <c r="I19" s="37" t="s">
        <v>156</v>
      </c>
      <c r="J19" s="37" t="s">
        <v>196</v>
      </c>
      <c r="K19" s="37" t="s">
        <v>156</v>
      </c>
      <c r="L19" s="37">
        <v>1</v>
      </c>
      <c r="M19" s="37">
        <f t="shared" si="1"/>
        <v>50</v>
      </c>
      <c r="N19" s="49">
        <v>55</v>
      </c>
      <c r="O19" s="63" t="s">
        <v>161</v>
      </c>
      <c r="P19" s="38">
        <v>7.7600000000000002E-2</v>
      </c>
      <c r="Q19" s="50">
        <f t="shared" ref="Q19" si="6">P19*N19</f>
        <v>4.2679999999999998</v>
      </c>
      <c r="R19" s="49"/>
      <c r="S19" s="56"/>
    </row>
    <row r="20" spans="1:19" s="59" customFormat="1" ht="25.5" x14ac:dyDescent="0.25">
      <c r="A20" s="57"/>
      <c r="B20" s="46">
        <f t="shared" si="0"/>
        <v>11</v>
      </c>
      <c r="C20" s="51" t="s">
        <v>12</v>
      </c>
      <c r="D20" s="37" t="s">
        <v>311</v>
      </c>
      <c r="E20" s="37" t="s">
        <v>322</v>
      </c>
      <c r="F20" s="37" t="s">
        <v>321</v>
      </c>
      <c r="G20" s="37" t="s">
        <v>316</v>
      </c>
      <c r="H20" s="37" t="s">
        <v>102</v>
      </c>
      <c r="I20" s="37" t="s">
        <v>156</v>
      </c>
      <c r="J20" s="37" t="s">
        <v>323</v>
      </c>
      <c r="K20" s="49" t="s">
        <v>156</v>
      </c>
      <c r="L20" s="37">
        <v>3</v>
      </c>
      <c r="M20" s="37">
        <f t="shared" si="1"/>
        <v>150</v>
      </c>
      <c r="N20" s="37">
        <v>200</v>
      </c>
      <c r="O20" s="63" t="s">
        <v>161</v>
      </c>
      <c r="P20" s="38">
        <v>7.1000000000000004E-3</v>
      </c>
      <c r="Q20" s="38">
        <f>P20*N20</f>
        <v>1.4200000000000002</v>
      </c>
      <c r="R20" s="37"/>
      <c r="S20" s="56"/>
    </row>
    <row r="21" spans="1:19" s="59" customFormat="1" ht="25.5" x14ac:dyDescent="0.25">
      <c r="A21" s="57"/>
      <c r="B21" s="46">
        <f t="shared" si="0"/>
        <v>12</v>
      </c>
      <c r="C21" s="51" t="s">
        <v>12</v>
      </c>
      <c r="D21" s="37" t="s">
        <v>197</v>
      </c>
      <c r="E21" s="37" t="s">
        <v>198</v>
      </c>
      <c r="F21" s="37" t="s">
        <v>199</v>
      </c>
      <c r="G21" s="37" t="s">
        <v>200</v>
      </c>
      <c r="H21" s="37" t="s">
        <v>102</v>
      </c>
      <c r="I21" s="37" t="s">
        <v>156</v>
      </c>
      <c r="J21" s="37" t="s">
        <v>201</v>
      </c>
      <c r="K21" s="37" t="s">
        <v>202</v>
      </c>
      <c r="L21" s="37">
        <v>1</v>
      </c>
      <c r="M21" s="37">
        <f t="shared" si="1"/>
        <v>50</v>
      </c>
      <c r="N21" s="49">
        <v>55</v>
      </c>
      <c r="O21" s="63" t="s">
        <v>161</v>
      </c>
      <c r="P21" s="38">
        <v>0.08</v>
      </c>
      <c r="Q21" s="50">
        <f t="shared" ref="Q21" si="7">P21*N21</f>
        <v>4.4000000000000004</v>
      </c>
      <c r="R21" s="49"/>
      <c r="S21" s="56"/>
    </row>
    <row r="22" spans="1:19" s="59" customFormat="1" ht="36" x14ac:dyDescent="0.25">
      <c r="A22" s="57"/>
      <c r="B22" s="47">
        <f t="shared" si="0"/>
        <v>13</v>
      </c>
      <c r="C22" s="52" t="s">
        <v>14</v>
      </c>
      <c r="D22" s="70" t="s">
        <v>30</v>
      </c>
      <c r="E22" s="49" t="s">
        <v>50</v>
      </c>
      <c r="F22" s="49" t="s">
        <v>158</v>
      </c>
      <c r="G22" s="49" t="s">
        <v>88</v>
      </c>
      <c r="H22" s="49" t="s">
        <v>107</v>
      </c>
      <c r="I22" s="49" t="s">
        <v>156</v>
      </c>
      <c r="J22" s="49" t="s">
        <v>125</v>
      </c>
      <c r="K22" s="49" t="s">
        <v>156</v>
      </c>
      <c r="L22" s="49">
        <v>1</v>
      </c>
      <c r="M22" s="37">
        <f t="shared" si="1"/>
        <v>50</v>
      </c>
      <c r="N22" s="37">
        <v>60</v>
      </c>
      <c r="O22" s="64" t="s">
        <v>161</v>
      </c>
      <c r="P22" s="50">
        <v>3.39E-2</v>
      </c>
      <c r="Q22" s="38">
        <f>P22*N22</f>
        <v>2.0339999999999998</v>
      </c>
      <c r="R22" s="37"/>
      <c r="S22" s="56"/>
    </row>
    <row r="23" spans="1:19" s="59" customFormat="1" ht="25.5" x14ac:dyDescent="0.25">
      <c r="A23" s="57"/>
      <c r="B23" s="46">
        <f t="shared" si="0"/>
        <v>14</v>
      </c>
      <c r="C23" s="51" t="s">
        <v>13</v>
      </c>
      <c r="D23" s="69" t="s">
        <v>31</v>
      </c>
      <c r="E23" s="37" t="s">
        <v>49</v>
      </c>
      <c r="F23" s="37" t="s">
        <v>158</v>
      </c>
      <c r="G23" s="37" t="s">
        <v>87</v>
      </c>
      <c r="H23" s="37" t="s">
        <v>106</v>
      </c>
      <c r="I23" s="37" t="s">
        <v>156</v>
      </c>
      <c r="J23" s="37" t="s">
        <v>124</v>
      </c>
      <c r="K23" s="49" t="s">
        <v>156</v>
      </c>
      <c r="L23" s="37">
        <v>1</v>
      </c>
      <c r="M23" s="37">
        <f t="shared" si="1"/>
        <v>50</v>
      </c>
      <c r="N23" s="49">
        <v>55</v>
      </c>
      <c r="O23" s="63" t="s">
        <v>161</v>
      </c>
      <c r="P23" s="38">
        <v>0.17949999999999999</v>
      </c>
      <c r="Q23" s="50">
        <f t="shared" ref="Q23" si="8">P23*N23</f>
        <v>9.8724999999999987</v>
      </c>
      <c r="R23" s="49"/>
      <c r="S23" s="56"/>
    </row>
    <row r="24" spans="1:19" s="59" customFormat="1" ht="36" x14ac:dyDescent="0.25">
      <c r="A24" s="57"/>
      <c r="B24" s="46">
        <f t="shared" si="0"/>
        <v>15</v>
      </c>
      <c r="C24" s="51" t="s">
        <v>15</v>
      </c>
      <c r="D24" s="69" t="s">
        <v>32</v>
      </c>
      <c r="E24" s="37" t="s">
        <v>51</v>
      </c>
      <c r="F24" s="37" t="s">
        <v>158</v>
      </c>
      <c r="G24" s="37" t="s">
        <v>89</v>
      </c>
      <c r="H24" s="37" t="s">
        <v>108</v>
      </c>
      <c r="I24" s="37" t="s">
        <v>156</v>
      </c>
      <c r="J24" s="37" t="s">
        <v>89</v>
      </c>
      <c r="K24" s="49" t="s">
        <v>156</v>
      </c>
      <c r="L24" s="37">
        <v>1</v>
      </c>
      <c r="M24" s="37">
        <f t="shared" si="1"/>
        <v>50</v>
      </c>
      <c r="N24" s="37">
        <v>60</v>
      </c>
      <c r="O24" s="63" t="s">
        <v>161</v>
      </c>
      <c r="P24" s="38">
        <v>7.0400000000000004E-2</v>
      </c>
      <c r="Q24" s="38">
        <f>P24*N24</f>
        <v>4.2240000000000002</v>
      </c>
      <c r="R24" s="37"/>
      <c r="S24" s="56"/>
    </row>
    <row r="25" spans="1:19" s="59" customFormat="1" ht="24" x14ac:dyDescent="0.25">
      <c r="A25" s="57"/>
      <c r="B25" s="46">
        <f t="shared" si="0"/>
        <v>16</v>
      </c>
      <c r="C25" s="51" t="s">
        <v>16</v>
      </c>
      <c r="D25" s="69" t="s">
        <v>203</v>
      </c>
      <c r="E25" s="37" t="s">
        <v>52</v>
      </c>
      <c r="F25" s="37" t="s">
        <v>71</v>
      </c>
      <c r="G25" s="61">
        <v>61300211121</v>
      </c>
      <c r="H25" s="37" t="s">
        <v>109</v>
      </c>
      <c r="I25" s="37" t="s">
        <v>299</v>
      </c>
      <c r="J25" s="37" t="s">
        <v>300</v>
      </c>
      <c r="K25" s="37" t="s">
        <v>156</v>
      </c>
      <c r="L25" s="37">
        <v>1</v>
      </c>
      <c r="M25" s="37">
        <f t="shared" si="1"/>
        <v>50</v>
      </c>
      <c r="N25" s="49">
        <v>60</v>
      </c>
      <c r="O25" s="63" t="s">
        <v>161</v>
      </c>
      <c r="P25" s="38">
        <v>2.46E-2</v>
      </c>
      <c r="Q25" s="50">
        <f t="shared" ref="Q25" si="9">P25*N25</f>
        <v>1.476</v>
      </c>
      <c r="R25" s="49"/>
      <c r="S25" s="56"/>
    </row>
    <row r="26" spans="1:19" s="59" customFormat="1" ht="24" x14ac:dyDescent="0.25">
      <c r="A26" s="57"/>
      <c r="B26" s="47">
        <f t="shared" si="0"/>
        <v>17</v>
      </c>
      <c r="C26" s="52" t="s">
        <v>17</v>
      </c>
      <c r="D26" s="49" t="s">
        <v>33</v>
      </c>
      <c r="E26" s="49" t="s">
        <v>204</v>
      </c>
      <c r="F26" s="49" t="s">
        <v>158</v>
      </c>
      <c r="G26" s="49" t="s">
        <v>205</v>
      </c>
      <c r="H26" s="49" t="s">
        <v>206</v>
      </c>
      <c r="I26" s="49" t="s">
        <v>156</v>
      </c>
      <c r="J26" s="49" t="s">
        <v>207</v>
      </c>
      <c r="K26" s="49" t="s">
        <v>208</v>
      </c>
      <c r="L26" s="49">
        <v>1</v>
      </c>
      <c r="M26" s="37">
        <f t="shared" si="1"/>
        <v>50</v>
      </c>
      <c r="N26" s="37">
        <v>55</v>
      </c>
      <c r="O26" s="64" t="s">
        <v>161</v>
      </c>
      <c r="P26" s="50">
        <v>2.7300000000000001E-2</v>
      </c>
      <c r="Q26" s="38">
        <f>P26*N26</f>
        <v>1.5015000000000001</v>
      </c>
      <c r="R26" s="37"/>
      <c r="S26" s="56"/>
    </row>
    <row r="27" spans="1:19" s="59" customFormat="1" ht="24" x14ac:dyDescent="0.25">
      <c r="A27" s="57"/>
      <c r="B27" s="46">
        <f>ROW(B27) - ROW($B$9)</f>
        <v>18</v>
      </c>
      <c r="C27" s="51" t="s">
        <v>17</v>
      </c>
      <c r="D27" s="37" t="s">
        <v>209</v>
      </c>
      <c r="E27" s="37" t="s">
        <v>210</v>
      </c>
      <c r="F27" s="37" t="s">
        <v>158</v>
      </c>
      <c r="G27" s="37" t="s">
        <v>211</v>
      </c>
      <c r="H27" s="37" t="s">
        <v>176</v>
      </c>
      <c r="I27" s="37" t="s">
        <v>156</v>
      </c>
      <c r="J27" s="37" t="s">
        <v>212</v>
      </c>
      <c r="K27" s="37" t="s">
        <v>213</v>
      </c>
      <c r="L27" s="37">
        <v>2</v>
      </c>
      <c r="M27" s="37">
        <f t="shared" si="1"/>
        <v>100</v>
      </c>
      <c r="N27" s="49">
        <v>102</v>
      </c>
      <c r="O27" s="63" t="s">
        <v>161</v>
      </c>
      <c r="P27" s="38">
        <v>0.3135</v>
      </c>
      <c r="Q27" s="50">
        <f t="shared" ref="Q27" si="10">P27*N27</f>
        <v>31.977</v>
      </c>
      <c r="R27" s="49"/>
      <c r="S27" s="56"/>
    </row>
    <row r="28" spans="1:19" s="59" customFormat="1" ht="48" x14ac:dyDescent="0.25">
      <c r="A28" s="57"/>
      <c r="B28" s="47">
        <f t="shared" si="0"/>
        <v>19</v>
      </c>
      <c r="C28" s="52" t="s">
        <v>18</v>
      </c>
      <c r="D28" s="70" t="s">
        <v>34</v>
      </c>
      <c r="E28" s="49" t="s">
        <v>53</v>
      </c>
      <c r="F28" s="49" t="s">
        <v>72</v>
      </c>
      <c r="G28" s="49" t="s">
        <v>90</v>
      </c>
      <c r="H28" s="49" t="s">
        <v>110</v>
      </c>
      <c r="I28" s="49" t="s">
        <v>156</v>
      </c>
      <c r="J28" s="49" t="s">
        <v>126</v>
      </c>
      <c r="K28" s="49" t="s">
        <v>156</v>
      </c>
      <c r="L28" s="49">
        <v>1</v>
      </c>
      <c r="M28" s="37">
        <f t="shared" si="1"/>
        <v>50</v>
      </c>
      <c r="N28" s="37">
        <v>60</v>
      </c>
      <c r="O28" s="64" t="s">
        <v>161</v>
      </c>
      <c r="P28" s="50">
        <v>2.46E-2</v>
      </c>
      <c r="Q28" s="38">
        <f>P28*N28</f>
        <v>1.476</v>
      </c>
      <c r="R28" s="37"/>
      <c r="S28" s="56"/>
    </row>
    <row r="29" spans="1:19" s="59" customFormat="1" ht="48" x14ac:dyDescent="0.25">
      <c r="A29" s="57"/>
      <c r="B29" s="46">
        <f>ROW(B29) - ROW($B$9)</f>
        <v>20</v>
      </c>
      <c r="C29" s="51" t="s">
        <v>18</v>
      </c>
      <c r="D29" s="69" t="s">
        <v>35</v>
      </c>
      <c r="E29" s="37" t="s">
        <v>54</v>
      </c>
      <c r="F29" s="37" t="s">
        <v>72</v>
      </c>
      <c r="G29" s="37" t="s">
        <v>91</v>
      </c>
      <c r="H29" s="37" t="s">
        <v>110</v>
      </c>
      <c r="I29" s="37" t="s">
        <v>156</v>
      </c>
      <c r="J29" s="37" t="s">
        <v>127</v>
      </c>
      <c r="K29" s="37" t="s">
        <v>156</v>
      </c>
      <c r="L29" s="37">
        <v>1</v>
      </c>
      <c r="M29" s="37">
        <f t="shared" si="1"/>
        <v>50</v>
      </c>
      <c r="N29" s="49">
        <v>60</v>
      </c>
      <c r="O29" s="63" t="s">
        <v>161</v>
      </c>
      <c r="P29" s="38">
        <v>2.3300000000000001E-2</v>
      </c>
      <c r="Q29" s="50">
        <f t="shared" ref="Q29" si="11">P29*N29</f>
        <v>1.3980000000000001</v>
      </c>
      <c r="R29" s="49"/>
      <c r="S29" s="56"/>
    </row>
    <row r="30" spans="1:19" s="59" customFormat="1" ht="24" x14ac:dyDescent="0.25">
      <c r="A30" s="57"/>
      <c r="B30" s="47">
        <f t="shared" ref="B30" si="12">ROW(B30) - ROW($B$9)</f>
        <v>21</v>
      </c>
      <c r="C30" s="52" t="s">
        <v>19</v>
      </c>
      <c r="D30" s="49" t="s">
        <v>214</v>
      </c>
      <c r="E30" s="49" t="s">
        <v>215</v>
      </c>
      <c r="F30" s="49" t="s">
        <v>158</v>
      </c>
      <c r="G30" s="49" t="s">
        <v>216</v>
      </c>
      <c r="H30" s="49" t="s">
        <v>217</v>
      </c>
      <c r="I30" s="49" t="s">
        <v>156</v>
      </c>
      <c r="J30" s="49" t="s">
        <v>218</v>
      </c>
      <c r="K30" s="49" t="s">
        <v>156</v>
      </c>
      <c r="L30" s="49">
        <v>3</v>
      </c>
      <c r="M30" s="37">
        <f t="shared" si="1"/>
        <v>150</v>
      </c>
      <c r="N30" s="37">
        <v>155</v>
      </c>
      <c r="O30" s="64" t="s">
        <v>161</v>
      </c>
      <c r="P30" s="50">
        <v>5.0200000000000002E-2</v>
      </c>
      <c r="Q30" s="38">
        <f>P30*N30</f>
        <v>7.7810000000000006</v>
      </c>
      <c r="R30" s="37"/>
      <c r="S30" s="56"/>
    </row>
    <row r="31" spans="1:19" s="59" customFormat="1" x14ac:dyDescent="0.25">
      <c r="A31" s="57"/>
      <c r="B31" s="47">
        <f t="shared" si="0"/>
        <v>22</v>
      </c>
      <c r="C31" s="52" t="s">
        <v>20</v>
      </c>
      <c r="D31" s="60" t="s">
        <v>219</v>
      </c>
      <c r="E31" s="60" t="s">
        <v>55</v>
      </c>
      <c r="F31" s="60" t="s">
        <v>158</v>
      </c>
      <c r="G31" s="60" t="s">
        <v>156</v>
      </c>
      <c r="H31" s="60" t="s">
        <v>156</v>
      </c>
      <c r="I31" s="60" t="s">
        <v>156</v>
      </c>
      <c r="J31" s="60" t="s">
        <v>156</v>
      </c>
      <c r="K31" s="61" t="s">
        <v>156</v>
      </c>
      <c r="L31" s="60">
        <v>4</v>
      </c>
      <c r="M31" s="60">
        <f t="shared" si="1"/>
        <v>200</v>
      </c>
      <c r="N31" s="49" t="s">
        <v>156</v>
      </c>
      <c r="O31" s="60" t="s">
        <v>156</v>
      </c>
      <c r="P31" s="60" t="s">
        <v>156</v>
      </c>
      <c r="Q31" s="50" t="s">
        <v>156</v>
      </c>
      <c r="R31" s="49"/>
      <c r="S31" s="56"/>
    </row>
    <row r="32" spans="1:19" s="59" customFormat="1" ht="36" x14ac:dyDescent="0.25">
      <c r="A32" s="57"/>
      <c r="B32" s="47">
        <f t="shared" si="0"/>
        <v>23</v>
      </c>
      <c r="C32" s="52" t="s">
        <v>21</v>
      </c>
      <c r="D32" s="70" t="s">
        <v>220</v>
      </c>
      <c r="E32" s="49" t="s">
        <v>56</v>
      </c>
      <c r="F32" s="49" t="s">
        <v>73</v>
      </c>
      <c r="G32" s="49" t="s">
        <v>92</v>
      </c>
      <c r="H32" s="49" t="s">
        <v>111</v>
      </c>
      <c r="I32" s="49" t="s">
        <v>156</v>
      </c>
      <c r="J32" s="49" t="s">
        <v>128</v>
      </c>
      <c r="K32" s="37" t="s">
        <v>156</v>
      </c>
      <c r="L32" s="49">
        <v>2</v>
      </c>
      <c r="M32" s="37">
        <f t="shared" si="1"/>
        <v>100</v>
      </c>
      <c r="N32" s="37">
        <v>110</v>
      </c>
      <c r="O32" s="64" t="s">
        <v>161</v>
      </c>
      <c r="P32" s="50">
        <v>2.64E-2</v>
      </c>
      <c r="Q32" s="75">
        <f>P32*N32</f>
        <v>2.9039999999999999</v>
      </c>
      <c r="R32" s="65"/>
      <c r="S32" s="56"/>
    </row>
    <row r="33" spans="1:26" s="59" customFormat="1" ht="48" x14ac:dyDescent="0.25">
      <c r="A33" s="57"/>
      <c r="B33" s="46">
        <f t="shared" si="0"/>
        <v>24</v>
      </c>
      <c r="C33" s="51" t="s">
        <v>21</v>
      </c>
      <c r="D33" s="37" t="s">
        <v>221</v>
      </c>
      <c r="E33" s="37" t="s">
        <v>57</v>
      </c>
      <c r="F33" s="37" t="s">
        <v>74</v>
      </c>
      <c r="G33" s="37" t="s">
        <v>93</v>
      </c>
      <c r="H33" s="37" t="s">
        <v>112</v>
      </c>
      <c r="I33" s="37" t="s">
        <v>156</v>
      </c>
      <c r="J33" s="37" t="s">
        <v>129</v>
      </c>
      <c r="K33" s="37" t="s">
        <v>156</v>
      </c>
      <c r="L33" s="37">
        <v>3</v>
      </c>
      <c r="M33" s="37">
        <f t="shared" si="1"/>
        <v>150</v>
      </c>
      <c r="N33" s="70">
        <v>160</v>
      </c>
      <c r="O33" s="63" t="s">
        <v>161</v>
      </c>
      <c r="P33" s="38">
        <v>3.3500000000000002E-2</v>
      </c>
      <c r="Q33" s="73">
        <f>P33*N33</f>
        <v>5.36</v>
      </c>
      <c r="R33" s="72"/>
      <c r="S33" s="71"/>
    </row>
    <row r="34" spans="1:26" s="59" customFormat="1" x14ac:dyDescent="0.25">
      <c r="A34" s="57"/>
      <c r="B34" s="46">
        <f t="shared" si="0"/>
        <v>25</v>
      </c>
      <c r="C34" s="51" t="s">
        <v>21</v>
      </c>
      <c r="D34" s="37" t="s">
        <v>312</v>
      </c>
      <c r="E34" s="77" t="s">
        <v>324</v>
      </c>
      <c r="F34" s="37" t="s">
        <v>325</v>
      </c>
      <c r="G34" s="77" t="s">
        <v>317</v>
      </c>
      <c r="H34" s="37" t="s">
        <v>112</v>
      </c>
      <c r="I34" s="37" t="s">
        <v>156</v>
      </c>
      <c r="J34" s="37" t="s">
        <v>326</v>
      </c>
      <c r="K34" s="37" t="s">
        <v>156</v>
      </c>
      <c r="L34" s="37">
        <v>1</v>
      </c>
      <c r="M34" s="37">
        <f t="shared" si="1"/>
        <v>50</v>
      </c>
      <c r="N34" s="37">
        <v>60</v>
      </c>
      <c r="O34" s="63" t="s">
        <v>161</v>
      </c>
      <c r="P34" s="38">
        <v>3.4099999999999998E-2</v>
      </c>
      <c r="Q34" s="50">
        <f t="shared" ref="Q34" si="13">P34*N34</f>
        <v>2.0459999999999998</v>
      </c>
      <c r="R34" s="49"/>
      <c r="S34" s="56"/>
      <c r="U34"/>
      <c r="V34"/>
      <c r="W34"/>
    </row>
    <row r="35" spans="1:26" s="59" customFormat="1" x14ac:dyDescent="0.25">
      <c r="A35" s="57"/>
      <c r="B35" s="46">
        <f>ROW(B35) - ROW($B$9)</f>
        <v>26</v>
      </c>
      <c r="C35" s="51" t="s">
        <v>22</v>
      </c>
      <c r="D35" s="49" t="s">
        <v>222</v>
      </c>
      <c r="E35" s="37" t="s">
        <v>61</v>
      </c>
      <c r="F35" s="37" t="s">
        <v>75</v>
      </c>
      <c r="G35" s="37" t="s">
        <v>97</v>
      </c>
      <c r="H35" s="37" t="s">
        <v>101</v>
      </c>
      <c r="I35" s="37" t="s">
        <v>156</v>
      </c>
      <c r="J35" s="37" t="s">
        <v>133</v>
      </c>
      <c r="K35" s="37" t="s">
        <v>147</v>
      </c>
      <c r="L35" s="37">
        <v>2</v>
      </c>
      <c r="M35" s="37">
        <f t="shared" si="1"/>
        <v>100</v>
      </c>
      <c r="N35" s="37">
        <v>200</v>
      </c>
      <c r="O35" s="63" t="s">
        <v>161</v>
      </c>
      <c r="P35" s="38">
        <v>1.1999999999999999E-3</v>
      </c>
      <c r="Q35" s="38">
        <f>P35*N35</f>
        <v>0.24</v>
      </c>
      <c r="R35" s="37"/>
      <c r="S35" s="56"/>
    </row>
    <row r="36" spans="1:26" s="59" customFormat="1" x14ac:dyDescent="0.25">
      <c r="A36" s="57"/>
      <c r="B36" s="46">
        <f>ROW(B36) - ROW($B$9)</f>
        <v>27</v>
      </c>
      <c r="C36" s="51" t="s">
        <v>22</v>
      </c>
      <c r="D36" s="37" t="s">
        <v>223</v>
      </c>
      <c r="E36" s="37" t="s">
        <v>224</v>
      </c>
      <c r="F36" s="37" t="s">
        <v>75</v>
      </c>
      <c r="G36" s="37" t="s">
        <v>225</v>
      </c>
      <c r="H36" s="37" t="s">
        <v>101</v>
      </c>
      <c r="I36" s="37" t="s">
        <v>156</v>
      </c>
      <c r="J36" s="37" t="s">
        <v>226</v>
      </c>
      <c r="K36" s="37" t="s">
        <v>227</v>
      </c>
      <c r="L36" s="37">
        <v>1</v>
      </c>
      <c r="M36" s="37">
        <f t="shared" si="1"/>
        <v>50</v>
      </c>
      <c r="N36" s="49">
        <v>100</v>
      </c>
      <c r="O36" s="63" t="s">
        <v>161</v>
      </c>
      <c r="P36" s="38">
        <v>1.1999999999999999E-3</v>
      </c>
      <c r="Q36" s="50">
        <f t="shared" ref="Q36" si="14">P36*N36</f>
        <v>0.12</v>
      </c>
      <c r="R36" s="49"/>
      <c r="S36" s="56"/>
    </row>
    <row r="37" spans="1:26" s="59" customFormat="1" x14ac:dyDescent="0.25">
      <c r="A37" s="57"/>
      <c r="B37" s="47">
        <f t="shared" ref="B37" si="15">ROW(B37) - ROW($B$9)</f>
        <v>28</v>
      </c>
      <c r="C37" s="52" t="s">
        <v>22</v>
      </c>
      <c r="D37" s="49" t="s">
        <v>228</v>
      </c>
      <c r="E37" s="49" t="s">
        <v>229</v>
      </c>
      <c r="F37" s="49" t="s">
        <v>75</v>
      </c>
      <c r="G37" s="49" t="s">
        <v>230</v>
      </c>
      <c r="H37" s="49" t="s">
        <v>101</v>
      </c>
      <c r="I37" s="49" t="s">
        <v>156</v>
      </c>
      <c r="J37" s="49" t="s">
        <v>231</v>
      </c>
      <c r="K37" s="49" t="s">
        <v>232</v>
      </c>
      <c r="L37" s="49">
        <v>1</v>
      </c>
      <c r="M37" s="37">
        <f t="shared" si="1"/>
        <v>50</v>
      </c>
      <c r="N37" s="37">
        <v>100</v>
      </c>
      <c r="O37" s="64" t="s">
        <v>161</v>
      </c>
      <c r="P37" s="50">
        <v>1.1000000000000001E-3</v>
      </c>
      <c r="Q37" s="38">
        <f>P37*N37</f>
        <v>0.11</v>
      </c>
      <c r="R37" s="37"/>
      <c r="S37" s="56"/>
    </row>
    <row r="38" spans="1:26" s="59" customFormat="1" ht="36" x14ac:dyDescent="0.25">
      <c r="A38" s="57"/>
      <c r="B38" s="46">
        <f>ROW(B38) - ROW($B$9)</f>
        <v>29</v>
      </c>
      <c r="C38" s="51" t="s">
        <v>22</v>
      </c>
      <c r="D38" s="37" t="s">
        <v>234</v>
      </c>
      <c r="E38" s="37" t="s">
        <v>235</v>
      </c>
      <c r="F38" s="37" t="s">
        <v>75</v>
      </c>
      <c r="G38" s="37" t="s">
        <v>236</v>
      </c>
      <c r="H38" s="37" t="s">
        <v>237</v>
      </c>
      <c r="I38" s="37" t="s">
        <v>156</v>
      </c>
      <c r="J38" s="37" t="s">
        <v>238</v>
      </c>
      <c r="K38" s="37" t="s">
        <v>239</v>
      </c>
      <c r="L38" s="37">
        <v>1</v>
      </c>
      <c r="M38" s="37">
        <f t="shared" si="1"/>
        <v>50</v>
      </c>
      <c r="N38" s="49">
        <v>100</v>
      </c>
      <c r="O38" s="63" t="s">
        <v>161</v>
      </c>
      <c r="P38" s="38">
        <v>1E-3</v>
      </c>
      <c r="Q38" s="50">
        <f t="shared" ref="Q38" si="16">P38*N38</f>
        <v>0.1</v>
      </c>
      <c r="R38" s="49"/>
      <c r="S38" s="56"/>
    </row>
    <row r="39" spans="1:26" s="59" customFormat="1" x14ac:dyDescent="0.25">
      <c r="A39" s="57"/>
      <c r="B39" s="46">
        <f t="shared" si="0"/>
        <v>30</v>
      </c>
      <c r="C39" s="52" t="s">
        <v>22</v>
      </c>
      <c r="D39" s="49" t="s">
        <v>233</v>
      </c>
      <c r="E39" s="37" t="s">
        <v>59</v>
      </c>
      <c r="F39" s="37" t="s">
        <v>75</v>
      </c>
      <c r="G39" s="37" t="s">
        <v>95</v>
      </c>
      <c r="H39" s="37" t="s">
        <v>101</v>
      </c>
      <c r="I39" s="37" t="s">
        <v>156</v>
      </c>
      <c r="J39" s="37" t="s">
        <v>131</v>
      </c>
      <c r="K39" s="37" t="s">
        <v>143</v>
      </c>
      <c r="L39" s="37">
        <v>8</v>
      </c>
      <c r="M39" s="37">
        <f t="shared" si="1"/>
        <v>400</v>
      </c>
      <c r="N39" s="37">
        <v>500</v>
      </c>
      <c r="O39" s="63" t="s">
        <v>161</v>
      </c>
      <c r="P39" s="38">
        <v>1E-3</v>
      </c>
      <c r="Q39" s="38">
        <f>P39*N39</f>
        <v>0.5</v>
      </c>
      <c r="R39" s="37"/>
      <c r="S39" s="56"/>
    </row>
    <row r="40" spans="1:26" s="59" customFormat="1" ht="24" x14ac:dyDescent="0.25">
      <c r="A40" s="57"/>
      <c r="B40" s="46">
        <f>ROW(B40) - ROW($B$9)</f>
        <v>31</v>
      </c>
      <c r="C40" s="51" t="s">
        <v>22</v>
      </c>
      <c r="D40" s="37" t="s">
        <v>240</v>
      </c>
      <c r="E40" s="37" t="s">
        <v>241</v>
      </c>
      <c r="F40" s="37" t="s">
        <v>242</v>
      </c>
      <c r="G40" s="37" t="s">
        <v>243</v>
      </c>
      <c r="H40" s="37" t="s">
        <v>244</v>
      </c>
      <c r="I40" s="37" t="s">
        <v>156</v>
      </c>
      <c r="J40" s="37" t="s">
        <v>245</v>
      </c>
      <c r="K40" s="37" t="s">
        <v>246</v>
      </c>
      <c r="L40" s="37">
        <v>1</v>
      </c>
      <c r="M40" s="37">
        <f t="shared" si="1"/>
        <v>50</v>
      </c>
      <c r="N40" s="49">
        <v>100</v>
      </c>
      <c r="O40" s="63" t="s">
        <v>161</v>
      </c>
      <c r="P40" s="38">
        <v>5.0000000000000001E-4</v>
      </c>
      <c r="Q40" s="50">
        <f t="shared" ref="Q40" si="17">P40*N40</f>
        <v>0.05</v>
      </c>
      <c r="R40" s="49"/>
      <c r="S40" s="56"/>
    </row>
    <row r="41" spans="1:26" s="59" customFormat="1" ht="24" x14ac:dyDescent="0.25">
      <c r="A41" s="57"/>
      <c r="B41" s="47">
        <f>ROW(B41) - ROW($B$9)</f>
        <v>32</v>
      </c>
      <c r="C41" s="52" t="s">
        <v>22</v>
      </c>
      <c r="D41" s="49" t="s">
        <v>294</v>
      </c>
      <c r="E41" s="49" t="s">
        <v>258</v>
      </c>
      <c r="F41" s="49" t="s">
        <v>75</v>
      </c>
      <c r="G41" s="49" t="s">
        <v>259</v>
      </c>
      <c r="H41" s="49" t="s">
        <v>101</v>
      </c>
      <c r="I41" s="49" t="s">
        <v>156</v>
      </c>
      <c r="J41" s="49" t="s">
        <v>260</v>
      </c>
      <c r="K41" s="49" t="s">
        <v>247</v>
      </c>
      <c r="L41" s="49">
        <v>3</v>
      </c>
      <c r="M41" s="37">
        <f t="shared" si="1"/>
        <v>150</v>
      </c>
      <c r="N41" s="37">
        <v>160</v>
      </c>
      <c r="O41" s="64" t="s">
        <v>161</v>
      </c>
      <c r="P41" s="50">
        <v>2.4E-2</v>
      </c>
      <c r="Q41" s="38">
        <f>P41*N41</f>
        <v>3.84</v>
      </c>
      <c r="R41" s="37"/>
      <c r="S41" s="56"/>
    </row>
    <row r="42" spans="1:26" s="59" customFormat="1" x14ac:dyDescent="0.25">
      <c r="A42" s="57"/>
      <c r="B42" s="46">
        <f>ROW(B42) - ROW($B$9)</f>
        <v>33</v>
      </c>
      <c r="C42" s="52" t="s">
        <v>22</v>
      </c>
      <c r="D42" s="69" t="s">
        <v>293</v>
      </c>
      <c r="E42" s="37" t="s">
        <v>290</v>
      </c>
      <c r="F42" s="37" t="s">
        <v>75</v>
      </c>
      <c r="G42" s="37" t="s">
        <v>291</v>
      </c>
      <c r="H42" s="37" t="s">
        <v>101</v>
      </c>
      <c r="I42" s="37" t="s">
        <v>156</v>
      </c>
      <c r="J42" s="37" t="s">
        <v>292</v>
      </c>
      <c r="K42" s="37" t="s">
        <v>145</v>
      </c>
      <c r="L42" s="37">
        <v>3</v>
      </c>
      <c r="M42" s="37">
        <f t="shared" si="1"/>
        <v>150</v>
      </c>
      <c r="N42" s="70">
        <v>200</v>
      </c>
      <c r="O42" s="63" t="s">
        <v>161</v>
      </c>
      <c r="P42" s="38">
        <v>1.1000000000000001E-3</v>
      </c>
      <c r="Q42" s="50">
        <f>P42*N42</f>
        <v>0.22</v>
      </c>
      <c r="R42" s="60"/>
      <c r="S42" s="60" t="s">
        <v>156</v>
      </c>
    </row>
    <row r="43" spans="1:26" s="59" customFormat="1" x14ac:dyDescent="0.25">
      <c r="A43" s="57"/>
      <c r="B43" s="46">
        <f t="shared" si="0"/>
        <v>34</v>
      </c>
      <c r="C43" s="52" t="s">
        <v>22</v>
      </c>
      <c r="D43" s="49" t="s">
        <v>248</v>
      </c>
      <c r="E43" s="37" t="s">
        <v>60</v>
      </c>
      <c r="F43" s="37" t="s">
        <v>75</v>
      </c>
      <c r="G43" s="37" t="s">
        <v>96</v>
      </c>
      <c r="H43" s="37" t="s">
        <v>101</v>
      </c>
      <c r="I43" s="37" t="s">
        <v>156</v>
      </c>
      <c r="J43" s="37" t="s">
        <v>132</v>
      </c>
      <c r="K43" s="37" t="s">
        <v>146</v>
      </c>
      <c r="L43" s="37">
        <v>2</v>
      </c>
      <c r="M43" s="37">
        <f t="shared" si="1"/>
        <v>100</v>
      </c>
      <c r="N43" s="37">
        <v>200</v>
      </c>
      <c r="O43" s="63" t="s">
        <v>161</v>
      </c>
      <c r="P43" s="38">
        <v>1.1000000000000001E-3</v>
      </c>
      <c r="Q43" s="76">
        <f>P43*N43</f>
        <v>0.22</v>
      </c>
      <c r="R43" s="65"/>
      <c r="S43" s="56"/>
    </row>
    <row r="44" spans="1:26" s="59" customFormat="1" x14ac:dyDescent="0.25">
      <c r="A44" s="57"/>
      <c r="B44" s="47">
        <f t="shared" si="0"/>
        <v>35</v>
      </c>
      <c r="C44" s="52" t="s">
        <v>22</v>
      </c>
      <c r="D44" s="49" t="s">
        <v>249</v>
      </c>
      <c r="E44" s="49" t="s">
        <v>250</v>
      </c>
      <c r="F44" s="49" t="s">
        <v>75</v>
      </c>
      <c r="G44" s="49" t="s">
        <v>251</v>
      </c>
      <c r="H44" s="49" t="s">
        <v>101</v>
      </c>
      <c r="I44" s="49" t="s">
        <v>156</v>
      </c>
      <c r="J44" s="49" t="s">
        <v>252</v>
      </c>
      <c r="K44" s="49" t="s">
        <v>144</v>
      </c>
      <c r="L44" s="49">
        <v>2</v>
      </c>
      <c r="M44" s="37">
        <f t="shared" si="1"/>
        <v>100</v>
      </c>
      <c r="N44" s="37">
        <v>200</v>
      </c>
      <c r="O44" s="64" t="s">
        <v>161</v>
      </c>
      <c r="P44" s="50">
        <v>1.2999999999999999E-3</v>
      </c>
      <c r="Q44" s="38">
        <f>P44*N44</f>
        <v>0.26</v>
      </c>
      <c r="R44" s="37"/>
      <c r="S44" s="56"/>
    </row>
    <row r="45" spans="1:26" s="59" customFormat="1" x14ac:dyDescent="0.25">
      <c r="A45" s="57"/>
      <c r="B45" s="46">
        <f>ROW(B45) - ROW($B$9)</f>
        <v>36</v>
      </c>
      <c r="C45" s="51" t="s">
        <v>22</v>
      </c>
      <c r="D45" s="49" t="s">
        <v>313</v>
      </c>
      <c r="E45" s="37" t="s">
        <v>58</v>
      </c>
      <c r="F45" s="37" t="s">
        <v>75</v>
      </c>
      <c r="G45" s="37" t="s">
        <v>94</v>
      </c>
      <c r="H45" s="37" t="s">
        <v>101</v>
      </c>
      <c r="I45" s="37" t="s">
        <v>156</v>
      </c>
      <c r="J45" s="37" t="s">
        <v>130</v>
      </c>
      <c r="K45" s="37" t="s">
        <v>142</v>
      </c>
      <c r="L45" s="37">
        <v>4</v>
      </c>
      <c r="M45" s="37">
        <f t="shared" si="1"/>
        <v>200</v>
      </c>
      <c r="N45" s="49">
        <v>200</v>
      </c>
      <c r="O45" s="63" t="s">
        <v>161</v>
      </c>
      <c r="P45" s="38">
        <v>1.1000000000000001E-3</v>
      </c>
      <c r="Q45" s="50">
        <f t="shared" ref="Q45:Q48" si="18">P45*N45</f>
        <v>0.22</v>
      </c>
      <c r="R45" s="49"/>
      <c r="S45" s="56"/>
    </row>
    <row r="46" spans="1:26" x14ac:dyDescent="0.25">
      <c r="A46" s="1"/>
      <c r="B46" s="46">
        <f t="shared" ref="B46:B47" si="19">ROW(B46) - ROW($B$9)</f>
        <v>37</v>
      </c>
      <c r="C46" s="51" t="s">
        <v>22</v>
      </c>
      <c r="D46" s="37" t="s">
        <v>314</v>
      </c>
      <c r="E46" s="77" t="s">
        <v>327</v>
      </c>
      <c r="F46" s="37" t="s">
        <v>242</v>
      </c>
      <c r="G46" s="79" t="s">
        <v>318</v>
      </c>
      <c r="H46" s="37" t="s">
        <v>328</v>
      </c>
      <c r="I46" s="37" t="s">
        <v>336</v>
      </c>
      <c r="J46" s="37" t="s">
        <v>337</v>
      </c>
      <c r="K46" s="77" t="s">
        <v>330</v>
      </c>
      <c r="L46" s="37">
        <v>4</v>
      </c>
      <c r="M46" s="37">
        <f t="shared" si="1"/>
        <v>200</v>
      </c>
      <c r="N46" s="37">
        <v>220</v>
      </c>
      <c r="O46" s="63" t="s">
        <v>161</v>
      </c>
      <c r="P46" s="38">
        <v>1.95E-2</v>
      </c>
      <c r="Q46" s="38">
        <f t="shared" si="18"/>
        <v>4.29</v>
      </c>
      <c r="R46" s="37"/>
      <c r="S46" s="56"/>
      <c r="X46" s="59"/>
      <c r="Y46" s="59"/>
      <c r="Z46" s="59"/>
    </row>
    <row r="47" spans="1:26" x14ac:dyDescent="0.25">
      <c r="A47" s="1"/>
      <c r="B47" s="46">
        <f t="shared" si="19"/>
        <v>38</v>
      </c>
      <c r="C47" s="51" t="s">
        <v>22</v>
      </c>
      <c r="D47" s="49" t="s">
        <v>315</v>
      </c>
      <c r="E47" s="78" t="s">
        <v>329</v>
      </c>
      <c r="F47" s="49" t="s">
        <v>242</v>
      </c>
      <c r="G47" s="78" t="s">
        <v>319</v>
      </c>
      <c r="H47" s="49" t="s">
        <v>101</v>
      </c>
      <c r="I47" s="37" t="s">
        <v>156</v>
      </c>
      <c r="J47" s="37" t="s">
        <v>331</v>
      </c>
      <c r="K47" s="78" t="s">
        <v>143</v>
      </c>
      <c r="L47" s="37">
        <v>2</v>
      </c>
      <c r="M47" s="37">
        <f t="shared" si="1"/>
        <v>100</v>
      </c>
      <c r="N47" s="37">
        <v>200</v>
      </c>
      <c r="O47" s="63" t="s">
        <v>161</v>
      </c>
      <c r="P47" s="38">
        <v>5.9999999999999995E-4</v>
      </c>
      <c r="Q47" s="38">
        <f t="shared" si="18"/>
        <v>0.12</v>
      </c>
      <c r="R47" s="37"/>
      <c r="S47" s="56"/>
      <c r="X47" s="59"/>
      <c r="Y47" s="59"/>
      <c r="Z47" s="59"/>
    </row>
    <row r="48" spans="1:26" s="59" customFormat="1" x14ac:dyDescent="0.25">
      <c r="A48" s="57"/>
      <c r="B48" s="46">
        <f>ROW(B48) - ROW($B$9)</f>
        <v>39</v>
      </c>
      <c r="C48" s="51" t="s">
        <v>22</v>
      </c>
      <c r="D48" s="37" t="s">
        <v>253</v>
      </c>
      <c r="E48" s="37" t="s">
        <v>254</v>
      </c>
      <c r="F48" s="37" t="s">
        <v>75</v>
      </c>
      <c r="G48" s="37" t="s">
        <v>255</v>
      </c>
      <c r="H48" s="37" t="s">
        <v>101</v>
      </c>
      <c r="I48" s="37" t="s">
        <v>156</v>
      </c>
      <c r="J48" s="37" t="s">
        <v>256</v>
      </c>
      <c r="K48" s="37" t="s">
        <v>257</v>
      </c>
      <c r="L48" s="37">
        <v>1</v>
      </c>
      <c r="M48" s="37">
        <f t="shared" si="1"/>
        <v>50</v>
      </c>
      <c r="N48" s="49">
        <v>100</v>
      </c>
      <c r="O48" s="63" t="s">
        <v>161</v>
      </c>
      <c r="P48" s="38">
        <v>1.4E-3</v>
      </c>
      <c r="Q48" s="50">
        <f t="shared" si="18"/>
        <v>0.13999999999999999</v>
      </c>
      <c r="R48" s="49"/>
      <c r="S48" s="56"/>
    </row>
    <row r="49" spans="1:26" s="59" customFormat="1" ht="25.5" x14ac:dyDescent="0.25">
      <c r="A49" s="57"/>
      <c r="B49" s="47">
        <f t="shared" si="0"/>
        <v>40</v>
      </c>
      <c r="C49" s="52" t="s">
        <v>23</v>
      </c>
      <c r="D49" s="61" t="s">
        <v>262</v>
      </c>
      <c r="E49" s="60" t="s">
        <v>62</v>
      </c>
      <c r="F49" s="60" t="s">
        <v>158</v>
      </c>
      <c r="G49" s="60" t="s">
        <v>76</v>
      </c>
      <c r="H49" s="60" t="s">
        <v>156</v>
      </c>
      <c r="I49" s="60" t="s">
        <v>156</v>
      </c>
      <c r="J49" s="60" t="s">
        <v>156</v>
      </c>
      <c r="K49" s="66" t="s">
        <v>156</v>
      </c>
      <c r="L49" s="60">
        <v>10</v>
      </c>
      <c r="M49" s="60">
        <f t="shared" si="1"/>
        <v>500</v>
      </c>
      <c r="N49" s="37" t="s">
        <v>156</v>
      </c>
      <c r="O49" s="60" t="s">
        <v>156</v>
      </c>
      <c r="P49" s="60" t="s">
        <v>156</v>
      </c>
      <c r="Q49" s="60" t="s">
        <v>156</v>
      </c>
      <c r="R49" s="37"/>
      <c r="S49" s="56"/>
    </row>
    <row r="50" spans="1:26" s="59" customFormat="1" ht="48" x14ac:dyDescent="0.25">
      <c r="A50" s="57"/>
      <c r="B50" s="46">
        <f>ROW(B50) - ROW($B$9)</f>
        <v>41</v>
      </c>
      <c r="C50" s="51" t="s">
        <v>24</v>
      </c>
      <c r="D50" s="69" t="s">
        <v>261</v>
      </c>
      <c r="E50" s="37" t="s">
        <v>63</v>
      </c>
      <c r="F50" s="49" t="s">
        <v>158</v>
      </c>
      <c r="G50" s="37" t="s">
        <v>77</v>
      </c>
      <c r="H50" s="37" t="s">
        <v>113</v>
      </c>
      <c r="I50" s="37" t="s">
        <v>156</v>
      </c>
      <c r="J50" s="37" t="s">
        <v>134</v>
      </c>
      <c r="K50" s="49" t="s">
        <v>156</v>
      </c>
      <c r="L50" s="37">
        <v>1</v>
      </c>
      <c r="M50" s="37">
        <f t="shared" si="1"/>
        <v>50</v>
      </c>
      <c r="N50" s="49">
        <v>60</v>
      </c>
      <c r="O50" s="63" t="s">
        <v>161</v>
      </c>
      <c r="P50" s="38">
        <v>2.1299999999999999E-2</v>
      </c>
      <c r="Q50" s="50">
        <f t="shared" ref="Q50" si="20">P50*N50</f>
        <v>1.278</v>
      </c>
      <c r="R50" s="49"/>
      <c r="S50" s="56"/>
    </row>
    <row r="51" spans="1:26" s="59" customFormat="1" ht="25.5" x14ac:dyDescent="0.25">
      <c r="A51" s="57"/>
      <c r="B51" s="46">
        <f>ROW(B51) - ROW($B$9)</f>
        <v>42</v>
      </c>
      <c r="C51" s="51" t="s">
        <v>302</v>
      </c>
      <c r="D51" s="49" t="s">
        <v>301</v>
      </c>
      <c r="E51" s="78" t="s">
        <v>332</v>
      </c>
      <c r="F51" s="49" t="s">
        <v>158</v>
      </c>
      <c r="G51" s="78" t="s">
        <v>320</v>
      </c>
      <c r="H51" s="49" t="s">
        <v>333</v>
      </c>
      <c r="I51" s="37" t="s">
        <v>156</v>
      </c>
      <c r="J51" s="37" t="s">
        <v>156</v>
      </c>
      <c r="K51" s="37" t="s">
        <v>156</v>
      </c>
      <c r="L51" s="37">
        <v>4</v>
      </c>
      <c r="M51" s="37">
        <f t="shared" si="1"/>
        <v>200</v>
      </c>
      <c r="N51" s="37">
        <v>201</v>
      </c>
      <c r="O51" s="63" t="s">
        <v>341</v>
      </c>
      <c r="P51" s="38">
        <v>2.03423</v>
      </c>
      <c r="Q51" s="74">
        <f>P51*N51</f>
        <v>408.88022999999998</v>
      </c>
      <c r="R51" s="61"/>
      <c r="S51" s="62"/>
    </row>
    <row r="52" spans="1:26" s="59" customFormat="1" ht="48" x14ac:dyDescent="0.25">
      <c r="A52" s="57"/>
      <c r="B52" s="46">
        <f>ROW(B52) - ROW($B$9)</f>
        <v>43</v>
      </c>
      <c r="C52" s="51" t="s">
        <v>24</v>
      </c>
      <c r="D52" s="69" t="s">
        <v>303</v>
      </c>
      <c r="E52" s="37" t="s">
        <v>64</v>
      </c>
      <c r="F52" s="49" t="s">
        <v>158</v>
      </c>
      <c r="G52" s="37" t="s">
        <v>98</v>
      </c>
      <c r="H52" s="37" t="s">
        <v>113</v>
      </c>
      <c r="I52" s="37" t="s">
        <v>156</v>
      </c>
      <c r="J52" s="37" t="s">
        <v>135</v>
      </c>
      <c r="K52" s="49" t="s">
        <v>156</v>
      </c>
      <c r="L52" s="37">
        <v>1</v>
      </c>
      <c r="M52" s="37">
        <f t="shared" si="1"/>
        <v>50</v>
      </c>
      <c r="N52" s="37">
        <v>60</v>
      </c>
      <c r="O52" s="63" t="s">
        <v>161</v>
      </c>
      <c r="P52" s="38">
        <v>4.2799999999999998E-2</v>
      </c>
      <c r="Q52" s="38">
        <f>P52*N52</f>
        <v>2.5680000000000001</v>
      </c>
      <c r="R52" s="37"/>
      <c r="S52" s="56"/>
    </row>
    <row r="53" spans="1:26" s="59" customFormat="1" ht="24" x14ac:dyDescent="0.25">
      <c r="A53" s="57"/>
      <c r="B53" s="47">
        <f t="shared" ref="B53:B55" si="21">ROW(B53) - ROW($B$9)</f>
        <v>44</v>
      </c>
      <c r="C53" s="52" t="s">
        <v>21</v>
      </c>
      <c r="D53" s="49" t="s">
        <v>36</v>
      </c>
      <c r="E53" s="49" t="s">
        <v>263</v>
      </c>
      <c r="F53" s="49" t="s">
        <v>264</v>
      </c>
      <c r="G53" s="49" t="s">
        <v>265</v>
      </c>
      <c r="H53" s="49" t="s">
        <v>266</v>
      </c>
      <c r="I53" s="49" t="s">
        <v>156</v>
      </c>
      <c r="J53" s="49" t="s">
        <v>267</v>
      </c>
      <c r="K53" s="49" t="s">
        <v>156</v>
      </c>
      <c r="L53" s="49">
        <v>1</v>
      </c>
      <c r="M53" s="37">
        <f t="shared" si="1"/>
        <v>50</v>
      </c>
      <c r="N53" s="49">
        <v>55</v>
      </c>
      <c r="O53" s="64" t="s">
        <v>161</v>
      </c>
      <c r="P53" s="50">
        <v>0.14460000000000001</v>
      </c>
      <c r="Q53" s="50">
        <f t="shared" ref="Q53" si="22">P53*N53</f>
        <v>7.9530000000000003</v>
      </c>
      <c r="R53" s="49"/>
      <c r="S53" s="56"/>
    </row>
    <row r="54" spans="1:26" s="59" customFormat="1" ht="24" x14ac:dyDescent="0.25">
      <c r="A54" s="57"/>
      <c r="B54" s="46">
        <f>ROW(B54) - ROW($B$9)</f>
        <v>45</v>
      </c>
      <c r="C54" s="51" t="s">
        <v>25</v>
      </c>
      <c r="D54" s="37" t="s">
        <v>37</v>
      </c>
      <c r="E54" s="37" t="s">
        <v>268</v>
      </c>
      <c r="F54" s="37" t="s">
        <v>269</v>
      </c>
      <c r="G54" s="37" t="s">
        <v>270</v>
      </c>
      <c r="H54" s="37" t="s">
        <v>115</v>
      </c>
      <c r="I54" s="37" t="s">
        <v>156</v>
      </c>
      <c r="J54" s="37" t="s">
        <v>271</v>
      </c>
      <c r="K54" s="37" t="s">
        <v>156</v>
      </c>
      <c r="L54" s="37">
        <v>1</v>
      </c>
      <c r="M54" s="37">
        <f t="shared" si="1"/>
        <v>50</v>
      </c>
      <c r="N54" s="37">
        <v>52</v>
      </c>
      <c r="O54" s="63" t="s">
        <v>161</v>
      </c>
      <c r="P54" s="38">
        <v>0.41849999999999998</v>
      </c>
      <c r="Q54" s="38">
        <f>P54*N54</f>
        <v>21.762</v>
      </c>
      <c r="R54" s="37"/>
      <c r="S54" s="56"/>
    </row>
    <row r="55" spans="1:26" s="59" customFormat="1" ht="36" x14ac:dyDescent="0.25">
      <c r="A55" s="57"/>
      <c r="B55" s="47">
        <f t="shared" si="21"/>
        <v>46</v>
      </c>
      <c r="C55" s="52" t="s">
        <v>25</v>
      </c>
      <c r="D55" s="49" t="s">
        <v>38</v>
      </c>
      <c r="E55" s="49" t="s">
        <v>272</v>
      </c>
      <c r="F55" s="49" t="s">
        <v>273</v>
      </c>
      <c r="G55" s="49" t="s">
        <v>274</v>
      </c>
      <c r="H55" s="49" t="s">
        <v>115</v>
      </c>
      <c r="I55" s="49" t="s">
        <v>156</v>
      </c>
      <c r="J55" s="49" t="s">
        <v>275</v>
      </c>
      <c r="K55" s="49" t="s">
        <v>156</v>
      </c>
      <c r="L55" s="49">
        <v>1</v>
      </c>
      <c r="M55" s="37">
        <f t="shared" si="1"/>
        <v>50</v>
      </c>
      <c r="N55" s="49">
        <v>51</v>
      </c>
      <c r="O55" s="64" t="s">
        <v>161</v>
      </c>
      <c r="P55" s="50">
        <v>0.47410000000000002</v>
      </c>
      <c r="Q55" s="50">
        <f t="shared" ref="Q55" si="23">P55*N55</f>
        <v>24.179100000000002</v>
      </c>
      <c r="R55" s="49"/>
      <c r="S55" s="56"/>
    </row>
    <row r="56" spans="1:26" s="59" customFormat="1" ht="24" x14ac:dyDescent="0.25">
      <c r="A56" s="57"/>
      <c r="B56" s="47">
        <f t="shared" si="0"/>
        <v>47</v>
      </c>
      <c r="C56" s="52" t="s">
        <v>26</v>
      </c>
      <c r="D56" s="70" t="s">
        <v>39</v>
      </c>
      <c r="E56" s="49" t="s">
        <v>65</v>
      </c>
      <c r="F56" s="49" t="s">
        <v>79</v>
      </c>
      <c r="G56" s="49" t="s">
        <v>99</v>
      </c>
      <c r="H56" s="49" t="s">
        <v>116</v>
      </c>
      <c r="I56" s="49" t="s">
        <v>156</v>
      </c>
      <c r="J56" s="49" t="s">
        <v>136</v>
      </c>
      <c r="K56" s="49" t="s">
        <v>156</v>
      </c>
      <c r="L56" s="49">
        <v>1</v>
      </c>
      <c r="M56" s="37">
        <f t="shared" si="1"/>
        <v>50</v>
      </c>
      <c r="N56" s="37">
        <v>52</v>
      </c>
      <c r="O56" s="64" t="s">
        <v>161</v>
      </c>
      <c r="P56" s="50">
        <v>2.8620999999999999</v>
      </c>
      <c r="Q56" s="38">
        <f>P56*N56</f>
        <v>148.82919999999999</v>
      </c>
      <c r="R56" s="37"/>
      <c r="S56" s="56"/>
    </row>
    <row r="57" spans="1:26" s="59" customFormat="1" ht="36" x14ac:dyDescent="0.25">
      <c r="A57" s="57"/>
      <c r="B57" s="47">
        <f t="shared" si="0"/>
        <v>48</v>
      </c>
      <c r="C57" s="52" t="s">
        <v>25</v>
      </c>
      <c r="D57" s="49" t="s">
        <v>40</v>
      </c>
      <c r="E57" s="49" t="s">
        <v>167</v>
      </c>
      <c r="F57" s="49" t="s">
        <v>78</v>
      </c>
      <c r="G57" s="49" t="s">
        <v>168</v>
      </c>
      <c r="H57" s="49" t="s">
        <v>169</v>
      </c>
      <c r="I57" s="49" t="s">
        <v>156</v>
      </c>
      <c r="J57" s="49" t="s">
        <v>170</v>
      </c>
      <c r="K57" s="49" t="s">
        <v>156</v>
      </c>
      <c r="L57" s="49">
        <v>1</v>
      </c>
      <c r="M57" s="37">
        <f t="shared" si="1"/>
        <v>50</v>
      </c>
      <c r="N57" s="49">
        <v>55</v>
      </c>
      <c r="O57" s="64" t="s">
        <v>161</v>
      </c>
      <c r="P57" s="50">
        <v>0.12909999999999999</v>
      </c>
      <c r="Q57" s="50">
        <f t="shared" ref="Q57" si="24">P57*N57</f>
        <v>7.1004999999999994</v>
      </c>
      <c r="R57" s="49"/>
      <c r="S57" s="56"/>
    </row>
    <row r="58" spans="1:26" s="59" customFormat="1" x14ac:dyDescent="0.25">
      <c r="A58" s="57"/>
      <c r="B58" s="46">
        <f>ROW(B58) - ROW($B$9)</f>
        <v>49</v>
      </c>
      <c r="C58" s="51" t="s">
        <v>25</v>
      </c>
      <c r="D58" s="37" t="s">
        <v>41</v>
      </c>
      <c r="E58" s="37" t="s">
        <v>276</v>
      </c>
      <c r="F58" s="37" t="s">
        <v>277</v>
      </c>
      <c r="G58" s="37" t="s">
        <v>278</v>
      </c>
      <c r="H58" s="37" t="s">
        <v>279</v>
      </c>
      <c r="I58" s="37" t="s">
        <v>156</v>
      </c>
      <c r="J58" s="37" t="s">
        <v>280</v>
      </c>
      <c r="K58" s="37" t="s">
        <v>156</v>
      </c>
      <c r="L58" s="37">
        <v>1</v>
      </c>
      <c r="M58" s="37">
        <f t="shared" si="1"/>
        <v>50</v>
      </c>
      <c r="N58" s="37">
        <v>52</v>
      </c>
      <c r="O58" s="63" t="s">
        <v>161</v>
      </c>
      <c r="P58" s="38">
        <v>0.98480000000000001</v>
      </c>
      <c r="Q58" s="38">
        <f>P58*N58</f>
        <v>51.209600000000002</v>
      </c>
      <c r="R58" s="37"/>
      <c r="S58" s="56"/>
    </row>
    <row r="59" spans="1:26" s="59" customFormat="1" ht="36" x14ac:dyDescent="0.25">
      <c r="A59" s="57"/>
      <c r="B59" s="47">
        <f t="shared" si="0"/>
        <v>50</v>
      </c>
      <c r="C59" s="52" t="s">
        <v>25</v>
      </c>
      <c r="D59" s="49" t="s">
        <v>174</v>
      </c>
      <c r="E59" s="49" t="s">
        <v>281</v>
      </c>
      <c r="F59" s="49" t="s">
        <v>282</v>
      </c>
      <c r="G59" s="49" t="s">
        <v>283</v>
      </c>
      <c r="H59" s="49" t="s">
        <v>114</v>
      </c>
      <c r="I59" s="49" t="s">
        <v>156</v>
      </c>
      <c r="J59" s="49" t="s">
        <v>284</v>
      </c>
      <c r="K59" s="49" t="s">
        <v>156</v>
      </c>
      <c r="L59" s="49">
        <v>1</v>
      </c>
      <c r="M59" s="37">
        <f t="shared" si="1"/>
        <v>50</v>
      </c>
      <c r="N59" s="49">
        <v>52</v>
      </c>
      <c r="O59" s="64" t="s">
        <v>161</v>
      </c>
      <c r="P59" s="50">
        <v>8.5099999999999995E-2</v>
      </c>
      <c r="Q59" s="50">
        <f t="shared" ref="Q59" si="25">P59*N59</f>
        <v>4.4251999999999994</v>
      </c>
      <c r="R59" s="49"/>
      <c r="S59" s="56"/>
    </row>
    <row r="60" spans="1:26" s="59" customFormat="1" x14ac:dyDescent="0.25">
      <c r="A60" s="57"/>
      <c r="B60" s="46">
        <f>ROW(B60) - ROW($B$9)</f>
        <v>51</v>
      </c>
      <c r="C60" s="51" t="s">
        <v>25</v>
      </c>
      <c r="D60" s="37" t="s">
        <v>285</v>
      </c>
      <c r="E60" s="37" t="s">
        <v>286</v>
      </c>
      <c r="F60" s="37" t="s">
        <v>287</v>
      </c>
      <c r="G60" s="37" t="s">
        <v>288</v>
      </c>
      <c r="H60" s="37" t="s">
        <v>279</v>
      </c>
      <c r="I60" s="37" t="s">
        <v>156</v>
      </c>
      <c r="J60" s="37" t="s">
        <v>289</v>
      </c>
      <c r="K60" s="37" t="s">
        <v>156</v>
      </c>
      <c r="L60" s="37">
        <v>1</v>
      </c>
      <c r="M60" s="37">
        <f t="shared" si="1"/>
        <v>50</v>
      </c>
      <c r="N60" s="37">
        <v>52</v>
      </c>
      <c r="O60" s="63" t="s">
        <v>161</v>
      </c>
      <c r="P60" s="38">
        <v>0.61260000000000003</v>
      </c>
      <c r="Q60" s="38">
        <f>P60*N60</f>
        <v>31.855200000000004</v>
      </c>
      <c r="R60" s="37"/>
      <c r="S60" s="56"/>
    </row>
    <row r="61" spans="1:26" x14ac:dyDescent="0.25">
      <c r="A61" s="1"/>
      <c r="B61" s="46">
        <v>52</v>
      </c>
      <c r="C61" s="51" t="s">
        <v>309</v>
      </c>
      <c r="D61" s="37" t="s">
        <v>172</v>
      </c>
      <c r="E61" s="37" t="s">
        <v>339</v>
      </c>
      <c r="F61" s="37" t="s">
        <v>156</v>
      </c>
      <c r="G61" s="37" t="s">
        <v>310</v>
      </c>
      <c r="H61" s="37" t="s">
        <v>156</v>
      </c>
      <c r="I61" s="37" t="s">
        <v>156</v>
      </c>
      <c r="J61" s="37" t="s">
        <v>340</v>
      </c>
      <c r="K61" s="37" t="s">
        <v>156</v>
      </c>
      <c r="L61" s="37">
        <v>1</v>
      </c>
      <c r="M61" s="37">
        <f t="shared" si="1"/>
        <v>50</v>
      </c>
      <c r="N61" s="37">
        <v>51</v>
      </c>
      <c r="O61" s="63" t="s">
        <v>161</v>
      </c>
      <c r="P61" s="38">
        <v>1.4525999999999999</v>
      </c>
      <c r="Q61" s="38">
        <f>P61*N61</f>
        <v>74.082599999999999</v>
      </c>
      <c r="R61" s="37"/>
      <c r="S61" s="56"/>
      <c r="X61" s="59"/>
      <c r="Y61" s="59"/>
      <c r="Z61" s="59"/>
    </row>
    <row r="62" spans="1:26" s="59" customFormat="1" ht="48" x14ac:dyDescent="0.25">
      <c r="A62" s="57"/>
      <c r="B62" s="47">
        <f t="shared" si="0"/>
        <v>53</v>
      </c>
      <c r="C62" s="51" t="s">
        <v>171</v>
      </c>
      <c r="D62" s="37" t="s">
        <v>172</v>
      </c>
      <c r="E62" s="37" t="s">
        <v>334</v>
      </c>
      <c r="F62" s="49" t="s">
        <v>156</v>
      </c>
      <c r="G62" s="49" t="s">
        <v>156</v>
      </c>
      <c r="H62" s="49" t="s">
        <v>156</v>
      </c>
      <c r="I62" s="49" t="s">
        <v>156</v>
      </c>
      <c r="J62" s="49" t="s">
        <v>156</v>
      </c>
      <c r="K62" s="49" t="s">
        <v>156</v>
      </c>
      <c r="L62" s="49">
        <v>1</v>
      </c>
      <c r="M62" s="37">
        <f t="shared" si="1"/>
        <v>50</v>
      </c>
      <c r="N62" s="49">
        <v>50</v>
      </c>
      <c r="O62" s="63" t="s">
        <v>173</v>
      </c>
      <c r="P62" s="50">
        <v>8.33</v>
      </c>
      <c r="Q62" s="50">
        <f t="shared" ref="Q62:Q63" si="26">P62*N62</f>
        <v>416.5</v>
      </c>
      <c r="R62" s="49"/>
      <c r="S62" s="56"/>
    </row>
    <row r="63" spans="1:26" s="59" customFormat="1" ht="60.75" thickBot="1" x14ac:dyDescent="0.3">
      <c r="A63" s="57"/>
      <c r="B63" s="47">
        <f t="shared" si="0"/>
        <v>54</v>
      </c>
      <c r="C63" s="51" t="s">
        <v>335</v>
      </c>
      <c r="D63" s="37" t="s">
        <v>172</v>
      </c>
      <c r="E63" s="37" t="s">
        <v>338</v>
      </c>
      <c r="F63" s="49" t="s">
        <v>156</v>
      </c>
      <c r="G63" s="49" t="s">
        <v>156</v>
      </c>
      <c r="H63" s="49" t="s">
        <v>156</v>
      </c>
      <c r="I63" s="49" t="s">
        <v>156</v>
      </c>
      <c r="J63" s="49" t="s">
        <v>156</v>
      </c>
      <c r="K63" s="49" t="s">
        <v>156</v>
      </c>
      <c r="L63" s="49">
        <v>1</v>
      </c>
      <c r="M63" s="37">
        <f t="shared" si="1"/>
        <v>50</v>
      </c>
      <c r="N63" s="49">
        <v>50</v>
      </c>
      <c r="O63" s="63" t="s">
        <v>173</v>
      </c>
      <c r="P63" s="50">
        <v>0.66</v>
      </c>
      <c r="Q63" s="50">
        <f t="shared" si="26"/>
        <v>33</v>
      </c>
      <c r="R63" s="49"/>
      <c r="S63" s="56"/>
    </row>
    <row r="64" spans="1:26" ht="19.5" thickBot="1" x14ac:dyDescent="0.3">
      <c r="A64" s="1"/>
      <c r="B64" s="40"/>
      <c r="C64" s="41"/>
      <c r="D64" s="42"/>
      <c r="E64" s="43"/>
      <c r="F64" s="44"/>
      <c r="G64" s="45"/>
      <c r="H64" s="44"/>
      <c r="I64" s="45"/>
      <c r="J64" s="44"/>
      <c r="K64" s="45"/>
      <c r="L64" s="45"/>
      <c r="M64" s="45"/>
      <c r="N64" s="80" t="s">
        <v>5</v>
      </c>
      <c r="O64" s="81"/>
      <c r="P64" s="81"/>
      <c r="Q64" s="48">
        <f>SUM(Q10:Q62)</f>
        <v>1325.91463</v>
      </c>
      <c r="R64" s="45"/>
      <c r="S64" s="45"/>
    </row>
    <row r="65" spans="1:19" ht="19.5" thickBot="1" x14ac:dyDescent="0.3">
      <c r="A65" s="57"/>
      <c r="B65" s="25"/>
      <c r="C65" s="36"/>
      <c r="D65" s="9"/>
      <c r="E65" s="10"/>
      <c r="F65" s="10"/>
      <c r="G65" s="10"/>
      <c r="H65" s="10"/>
      <c r="I65" s="10"/>
      <c r="J65" s="10"/>
      <c r="K65" s="10"/>
      <c r="L65" s="10"/>
      <c r="M65" s="10"/>
      <c r="N65" s="80" t="s">
        <v>6</v>
      </c>
      <c r="O65" s="81"/>
      <c r="P65" s="81"/>
      <c r="Q65" s="48">
        <f>Q64/50</f>
        <v>26.518292599999999</v>
      </c>
      <c r="R65" s="10"/>
      <c r="S65" s="10"/>
    </row>
  </sheetData>
  <mergeCells count="4">
    <mergeCell ref="K1:S1"/>
    <mergeCell ref="S3:S8"/>
    <mergeCell ref="N64:P64"/>
    <mergeCell ref="N65:P65"/>
  </mergeCells>
  <hyperlinks>
    <hyperlink ref="O12" r:id="rId1"/>
    <hyperlink ref="O15" r:id="rId2"/>
    <hyperlink ref="O10" r:id="rId3"/>
    <hyperlink ref="O11" r:id="rId4"/>
    <hyperlink ref="O18" r:id="rId5"/>
    <hyperlink ref="O23" r:id="rId6"/>
    <hyperlink ref="O22" r:id="rId7"/>
    <hyperlink ref="O24" r:id="rId8"/>
    <hyperlink ref="O28" r:id="rId9"/>
    <hyperlink ref="O29" r:id="rId10"/>
    <hyperlink ref="O32" r:id="rId11"/>
    <hyperlink ref="O33" r:id="rId12"/>
    <hyperlink ref="O39" r:id="rId13"/>
    <hyperlink ref="O43" r:id="rId14"/>
    <hyperlink ref="O35" r:id="rId15"/>
    <hyperlink ref="O50" r:id="rId16"/>
    <hyperlink ref="O52" r:id="rId17"/>
    <hyperlink ref="O56" r:id="rId18"/>
    <hyperlink ref="O14" r:id="rId19"/>
    <hyperlink ref="O16" r:id="rId20"/>
    <hyperlink ref="O17" r:id="rId21"/>
    <hyperlink ref="O19" r:id="rId22"/>
    <hyperlink ref="O21" r:id="rId23"/>
    <hyperlink ref="O26" r:id="rId24"/>
    <hyperlink ref="O27" r:id="rId25"/>
    <hyperlink ref="O30" r:id="rId26"/>
    <hyperlink ref="O36" r:id="rId27"/>
    <hyperlink ref="O37" r:id="rId28"/>
    <hyperlink ref="O38" r:id="rId29"/>
    <hyperlink ref="O40" r:id="rId30"/>
    <hyperlink ref="O42" r:id="rId31"/>
    <hyperlink ref="O44" r:id="rId32"/>
    <hyperlink ref="O45" r:id="rId33"/>
    <hyperlink ref="O48" r:id="rId34"/>
    <hyperlink ref="O41" r:id="rId35"/>
    <hyperlink ref="O53" r:id="rId36"/>
    <hyperlink ref="O54" r:id="rId37"/>
    <hyperlink ref="O55" r:id="rId38"/>
    <hyperlink ref="O57" r:id="rId39"/>
    <hyperlink ref="O58" r:id="rId40"/>
    <hyperlink ref="O59" r:id="rId41"/>
    <hyperlink ref="O60" r:id="rId42"/>
    <hyperlink ref="O25" r:id="rId43"/>
    <hyperlink ref="O13" r:id="rId44"/>
    <hyperlink ref="O20" r:id="rId45"/>
    <hyperlink ref="O34" r:id="rId46"/>
    <hyperlink ref="O47" r:id="rId47"/>
    <hyperlink ref="O62" r:id="rId48"/>
    <hyperlink ref="O63" r:id="rId49"/>
    <hyperlink ref="O46" r:id="rId50"/>
    <hyperlink ref="O61" r:id="rId51"/>
    <hyperlink ref="O51" r:id="rId52"/>
  </hyperlinks>
  <pageMargins left="0.7" right="0.7" top="0.75" bottom="0.75" header="0.3" footer="0.3"/>
  <pageSetup orientation="portrait" r:id="rId53"/>
  <drawing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 Boards</vt:lpstr>
      <vt:lpstr>5 Boards</vt:lpstr>
      <vt:lpstr>50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2023-09-08T08:30:34Z</dcterms:modified>
</cp:coreProperties>
</file>