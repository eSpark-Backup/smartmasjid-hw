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<sst xmlns="http://schemas.openxmlformats.org/spreadsheetml/2006/main" count="115" uniqueCount="94">
  <si>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</si>
  <si>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</si>
  <si>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</si>
  <si>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</si>
  <si>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</si>
  <si>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</si>
  <si>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</si>
  <si>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</si>
  <si>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</si>
  <si>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 xml:space="preserve"> Remarks</t>
  </si>
  <si>
    <t>Capacitor</t>
  </si>
  <si>
    <t>C1, C3, C7, C13</t>
  </si>
  <si>
    <t>CAP CER 1UF 25V X5R 0603</t>
  </si>
  <si>
    <t>Cap-0603</t>
  </si>
  <si>
    <t>CC0603KRX5R8BB105</t>
  </si>
  <si>
    <t>Yageo</t>
  </si>
  <si>
    <t>1uF</t>
  </si>
  <si>
    <t>C2, C5, C8, C10, C11, C12, C14, C15, C16, C17, C18, C22, C23</t>
  </si>
  <si>
    <t>CAP CER 0.1UF 25V X5R 0402</t>
  </si>
  <si>
    <t>Cap-0402</t>
  </si>
  <si>
    <t>CC0402KRX5R8BB104</t>
  </si>
  <si>
    <t>100nF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</si>
  <si>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</si>
  <si>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</si>
  <si>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</si>
  <si>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</si>
  <si>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</si>
  <si>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</si>
  <si>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</si>
  <si>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</si>
  <si>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</si>
  <si>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</si>
  <si>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</si>
  <si>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</si>
  <si>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</si>
  <si>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Ferrite Bead</t>
  </si>
  <si>
    <t>FB1</t>
  </si>
  <si>
    <t>FERRITE BEAD 120 OHM 0603 1LN</t>
  </si>
  <si>
    <t>IND-0603 (1608 Metric)</t>
  </si>
  <si>
    <t>BLM18SG121TN1D</t>
  </si>
  <si>
    <t>Murata</t>
  </si>
  <si>
    <t>DC Jack</t>
  </si>
  <si>
    <t>J1</t>
  </si>
  <si>
    <t>DC Power Receptacle 260℃ Brass -20℃~+70℃ 2.5mm 6mm 2.5A 24V Plugin AC/DC Power Connectors ROHS</t>
  </si>
  <si>
    <t>DC-0360-2.5</t>
  </si>
  <si>
    <t>XKB Connectivity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</si>
  <si>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</si>
  <si>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</si>
  <si>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</si>
  <si>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</si>
  <si>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</si>
  <si>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</si>
  <si>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RGB LED</t>
  </si>
  <si>
    <t>LED4, LED5, LED6, LED7, LED8, LED9</t>
  </si>
  <si>
    <t>SMD5050 Light Emitting Diodes (LED) ROHS</t>
  </si>
  <si>
    <t>WS2812B-XF02/W</t>
  </si>
  <si>
    <t>Worldsemi</t>
  </si>
  <si>
    <t>Mosfet</t>
  </si>
  <si>
    <t>Q1</t>
  </si>
  <si>
    <t>N-CHANNEL 20-V (D-S) MOSFET</t>
  </si>
  <si>
    <t>Sot-23</t>
  </si>
  <si>
    <t>SI2302CDS</t>
  </si>
  <si>
    <t>TECH PUBLIC</t>
  </si>
  <si>
    <t>Resistor</t>
  </si>
  <si>
    <t>R1, R6, R9, R10, R13, R14</t>
  </si>
  <si>
    <t>RES SMD 10K Ohm 1% 1/10W 0603</t>
  </si>
  <si>
    <t>Res-0603</t>
  </si>
  <si>
    <t>RC0603FR-0710KL</t>
  </si>
  <si>
    <t>10K</t>
  </si>
  <si>
    <t>R15</t>
  </si>
  <si>
    <t>RES SMD 1K OHM 1% 1/10W 0603</t>
  </si>
  <si>
    <t>RC0603FR-071KL</t>
  </si>
  <si>
    <t>1K</t>
  </si>
  <si>
    <t>Tactile Switch</t>
  </si>
  <si>
    <t>SW3</t>
  </si>
  <si>
    <t>No NO 50mA 100MΩ 100000 Times 12V 130gf@±30gf Brick nogging SPST SMD Tactile Switches ROHS</t>
  </si>
  <si>
    <t>GT-TC074E-H080-L1</t>
  </si>
  <si>
    <t>G-Switch</t>
  </si>
  <si>
    <t>SW4</t>
  </si>
  <si>
    <t>50mA Lying SPST 24V Plugin Tactile Switches ROHS</t>
  </si>
  <si>
    <t>1825027-8</t>
  </si>
  <si>
    <t>TE Connectivity</t>
  </si>
  <si>
    <t>Module</t>
  </si>
  <si>
    <t>U2</t>
  </si>
  <si>
    <t>RF TXRX MODULE BT PCB TRACE SMD</t>
  </si>
  <si>
    <t>38-SMD Module</t>
  </si>
  <si>
    <t>ESP32-WROOM-32E-N8R2</t>
  </si>
  <si>
    <t>Espressif Systems</t>
  </si>
  <si>
    <t>IC</t>
  </si>
  <si>
    <t>U3</t>
  </si>
  <si>
    <t>500-MA, LOW-NOISE, LOW-IQ, HIGH</t>
  </si>
  <si>
    <t>4-WCSP (0.63x0.63)</t>
  </si>
  <si>
    <t>TPS7A2133PYWDJ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</si>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</sst>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7"/>
  <sheetViews>
    <sheetView tabSelected="1" topLeftCell="D6" workbookViewId="0">
      <selection activeCell="I20" sqref="I20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ht="24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15</v>
      </c>
      <c r="I4" s="13" t="s">
        <v>21</v>
      </c>
      <c r="J4" s="12">
        <v>13</v>
      </c>
      <c r="K4" s="12"/>
    </row>
    <row r="5" spans="1:11">
      <c r="A5" s="2"/>
      <c r="B5" s="7">
        <f>ROW(B5)-ROW($B$2)</f>
        <v>3</v>
      </c>
      <c r="C5" s="8" t="s">
        <v>22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1</v>
      </c>
      <c r="K5" s="9"/>
    </row>
    <row r="6" ht="24.75" spans="1:11">
      <c r="A6" s="2"/>
      <c r="B6" s="7">
        <f>ROW(B6)-ROW($B$2)</f>
        <v>4</v>
      </c>
      <c r="C6" s="11" t="s">
        <v>29</v>
      </c>
      <c r="D6" s="12" t="s">
        <v>30</v>
      </c>
      <c r="E6" s="13" t="s">
        <v>31</v>
      </c>
      <c r="F6" s="12" t="s">
        <v>32</v>
      </c>
      <c r="G6" s="13" t="s">
        <v>33</v>
      </c>
      <c r="H6" s="12" t="s">
        <v>34</v>
      </c>
      <c r="I6" s="10" t="s">
        <v>28</v>
      </c>
      <c r="J6" s="12">
        <v>1</v>
      </c>
      <c r="K6" s="12"/>
    </row>
    <row r="7" spans="1:11">
      <c r="A7" s="2"/>
      <c r="B7" s="7">
        <f>ROW(B7)-ROW($B$2)</f>
        <v>5</v>
      </c>
      <c r="C7" s="8" t="s">
        <v>35</v>
      </c>
      <c r="D7" s="9" t="s">
        <v>36</v>
      </c>
      <c r="E7" s="10" t="s">
        <v>37</v>
      </c>
      <c r="F7" s="9" t="s">
        <v>38</v>
      </c>
      <c r="G7" s="10" t="s">
        <v>39</v>
      </c>
      <c r="H7" s="9" t="s">
        <v>40</v>
      </c>
      <c r="I7" s="10" t="s">
        <v>28</v>
      </c>
      <c r="J7" s="9">
        <v>1</v>
      </c>
      <c r="K7" s="9"/>
    </row>
    <row r="8" ht="36.75" spans="1:11">
      <c r="A8" s="2"/>
      <c r="B8" s="7">
        <f>ROW(B8)-ROW($B$2)</f>
        <v>6</v>
      </c>
      <c r="C8" s="11" t="s">
        <v>41</v>
      </c>
      <c r="D8" s="12" t="s">
        <v>42</v>
      </c>
      <c r="E8" s="13" t="s">
        <v>43</v>
      </c>
      <c r="F8" s="12" t="s">
        <v>44</v>
      </c>
      <c r="G8" s="13" t="s">
        <v>44</v>
      </c>
      <c r="H8" s="12" t="s">
        <v>45</v>
      </c>
      <c r="I8" s="10" t="s">
        <v>28</v>
      </c>
      <c r="J8" s="12">
        <v>1</v>
      </c>
      <c r="K8" s="12"/>
    </row>
    <row r="9" ht="24.75" spans="1:11">
      <c r="A9" s="2"/>
      <c r="B9" s="7">
        <f>ROW(B9)-ROW($B$2)</f>
        <v>7</v>
      </c>
      <c r="C9" s="8" t="s">
        <v>46</v>
      </c>
      <c r="D9" s="9" t="s">
        <v>47</v>
      </c>
      <c r="E9" s="10" t="s">
        <v>48</v>
      </c>
      <c r="F9" s="9" t="s">
        <v>49</v>
      </c>
      <c r="G9" s="10" t="s">
        <v>50</v>
      </c>
      <c r="H9" s="9" t="s">
        <v>51</v>
      </c>
      <c r="I9" s="10" t="s">
        <v>28</v>
      </c>
      <c r="J9" s="9">
        <v>1</v>
      </c>
      <c r="K9" s="9"/>
    </row>
    <row r="10" ht="24.75" spans="1:11">
      <c r="A10" s="2"/>
      <c r="B10" s="7">
        <f>ROW(B10)-ROW($B$2)</f>
        <v>8</v>
      </c>
      <c r="C10" s="11" t="s">
        <v>52</v>
      </c>
      <c r="D10" s="12" t="s">
        <v>53</v>
      </c>
      <c r="E10" s="13" t="s">
        <v>54</v>
      </c>
      <c r="F10" s="12" t="s">
        <v>55</v>
      </c>
      <c r="G10" s="13" t="s">
        <v>55</v>
      </c>
      <c r="H10" s="12" t="s">
        <v>56</v>
      </c>
      <c r="I10" s="10" t="s">
        <v>28</v>
      </c>
      <c r="J10" s="12">
        <v>6</v>
      </c>
      <c r="K10" s="12"/>
    </row>
    <row r="11" spans="1:11">
      <c r="A11" s="2"/>
      <c r="B11" s="7">
        <f>ROW(B11)-ROW($B$2)</f>
        <v>9</v>
      </c>
      <c r="C11" s="8" t="s">
        <v>57</v>
      </c>
      <c r="D11" s="9" t="s">
        <v>58</v>
      </c>
      <c r="E11" s="10" t="s">
        <v>59</v>
      </c>
      <c r="F11" s="9" t="s">
        <v>60</v>
      </c>
      <c r="G11" s="10" t="s">
        <v>61</v>
      </c>
      <c r="H11" s="9" t="s">
        <v>62</v>
      </c>
      <c r="I11" s="10" t="s">
        <v>28</v>
      </c>
      <c r="J11" s="9">
        <v>1</v>
      </c>
      <c r="K11" s="9"/>
    </row>
    <row r="12" spans="1:11">
      <c r="A12" s="2"/>
      <c r="B12" s="7">
        <f>ROW(B12)-ROW($B$2)</f>
        <v>10</v>
      </c>
      <c r="C12" s="11" t="s">
        <v>63</v>
      </c>
      <c r="D12" s="12" t="s">
        <v>64</v>
      </c>
      <c r="E12" s="13" t="s">
        <v>65</v>
      </c>
      <c r="F12" s="12" t="s">
        <v>66</v>
      </c>
      <c r="G12" s="13" t="s">
        <v>67</v>
      </c>
      <c r="H12" s="12" t="s">
        <v>15</v>
      </c>
      <c r="I12" s="13" t="s">
        <v>68</v>
      </c>
      <c r="J12" s="12">
        <v>6</v>
      </c>
      <c r="K12" s="12"/>
    </row>
    <row r="13" spans="1:11">
      <c r="A13" s="2"/>
      <c r="B13" s="7">
        <f>ROW(B13)-ROW($B$2)</f>
        <v>11</v>
      </c>
      <c r="C13" s="8" t="s">
        <v>63</v>
      </c>
      <c r="D13" s="9" t="s">
        <v>69</v>
      </c>
      <c r="E13" s="10" t="s">
        <v>70</v>
      </c>
      <c r="F13" s="9" t="s">
        <v>66</v>
      </c>
      <c r="G13" s="10" t="s">
        <v>71</v>
      </c>
      <c r="H13" s="9" t="s">
        <v>15</v>
      </c>
      <c r="I13" s="10" t="s">
        <v>72</v>
      </c>
      <c r="J13" s="9">
        <v>1</v>
      </c>
      <c r="K13" s="9"/>
    </row>
    <row r="14" ht="36.75" spans="1:11">
      <c r="A14" s="2"/>
      <c r="B14" s="7">
        <f>ROW(B14)-ROW($B$2)</f>
        <v>12</v>
      </c>
      <c r="C14" s="11" t="s">
        <v>73</v>
      </c>
      <c r="D14" s="12" t="s">
        <v>74</v>
      </c>
      <c r="E14" s="13" t="s">
        <v>75</v>
      </c>
      <c r="F14" s="12" t="s">
        <v>76</v>
      </c>
      <c r="G14" s="13" t="s">
        <v>76</v>
      </c>
      <c r="H14" s="12" t="s">
        <v>77</v>
      </c>
      <c r="I14" s="13" t="s">
        <v>28</v>
      </c>
      <c r="J14" s="12">
        <v>1</v>
      </c>
      <c r="K14" s="12"/>
    </row>
    <row r="15" ht="24.75" spans="1:11">
      <c r="A15" s="2"/>
      <c r="B15" s="7">
        <f>ROW(B15)-ROW($B$2)</f>
        <v>13</v>
      </c>
      <c r="C15" s="11" t="s">
        <v>73</v>
      </c>
      <c r="D15" s="9" t="s">
        <v>78</v>
      </c>
      <c r="E15" s="10" t="s">
        <v>79</v>
      </c>
      <c r="F15" s="9" t="s">
        <v>80</v>
      </c>
      <c r="G15" s="10" t="s">
        <v>80</v>
      </c>
      <c r="H15" s="9" t="s">
        <v>81</v>
      </c>
      <c r="I15" s="13" t="s">
        <v>28</v>
      </c>
      <c r="J15" s="9">
        <v>1</v>
      </c>
      <c r="K15" s="9"/>
    </row>
    <row r="16" spans="1:11">
      <c r="A16" s="2"/>
      <c r="B16" s="7">
        <f>ROW(B16)-ROW($B$2)</f>
        <v>14</v>
      </c>
      <c r="C16" s="11" t="s">
        <v>82</v>
      </c>
      <c r="D16" s="12" t="s">
        <v>83</v>
      </c>
      <c r="E16" s="13" t="s">
        <v>84</v>
      </c>
      <c r="F16" s="12" t="s">
        <v>85</v>
      </c>
      <c r="G16" s="13" t="s">
        <v>86</v>
      </c>
      <c r="H16" s="12" t="s">
        <v>87</v>
      </c>
      <c r="I16" s="13" t="s">
        <v>28</v>
      </c>
      <c r="J16" s="12">
        <v>1</v>
      </c>
      <c r="K16" s="12"/>
    </row>
    <row r="17" spans="1:11">
      <c r="A17" s="2"/>
      <c r="B17" s="7">
        <f>ROW(B17)-ROW($B$2)</f>
        <v>15</v>
      </c>
      <c r="C17" s="8" t="s">
        <v>88</v>
      </c>
      <c r="D17" s="9" t="s">
        <v>89</v>
      </c>
      <c r="E17" s="10" t="s">
        <v>90</v>
      </c>
      <c r="F17" s="9" t="s">
        <v>91</v>
      </c>
      <c r="G17" s="10" t="s">
        <v>92</v>
      </c>
      <c r="H17" s="9" t="s">
        <v>93</v>
      </c>
      <c r="I17" s="13" t="s">
        <v>28</v>
      </c>
      <c r="J17" s="9">
        <v>1</v>
      </c>
      <c r="K1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2024-11-22T07:58:46Z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825A7EC3E12049B7BD21F734A95849CF_13</vt:lpwstr>
  </property>
  <property fmtid="{D5CDD505-2E9C-101B-9397-08002B2CF9AE}" pid="3" name="KSOProductBuildVer">
    <vt:lpwstr>1033-12.2.0.18911</vt:lpwstr>
  </property>
</Properties>
</file>