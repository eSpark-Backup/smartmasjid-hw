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Smart-Speaker-v2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<sst xmlns="http://schemas.openxmlformats.org/spreadsheetml/2006/main" count="469" uniqueCount="293">
  <si>
    <t>#</t>
  </si>
  <si>
    <t>Item Type</t>
  </si>
  <si>
    <t>Capacitor</t>
  </si>
  <si>
    <t>Capacitors</t>
  </si>
  <si>
    <t>Diode</t>
  </si>
  <si>
    <t>Fuse</t>
  </si>
  <si>
    <t>Ferrite Bead</t>
  </si>
  <si>
    <t>USB Connector</t>
  </si>
  <si>
    <t>Connector</t>
  </si>
  <si>
    <t>Wire to Board Connector</t>
  </si>
  <si>
    <t>Inductor</t>
  </si>
  <si>
    <t>RGB LED</t>
  </si>
  <si>
    <t>Mosfet</t>
  </si>
  <si>
    <t>Resistor</t>
  </si>
  <si>
    <t>Resistors</t>
  </si>
  <si>
    <t>Tactile Switch</t>
  </si>
  <si>
    <t>Switch</t>
  </si>
  <si>
    <t>IC</t>
  </si>
  <si>
    <t>Module</t>
  </si>
  <si>
    <t>Designator</t>
  </si>
  <si>
    <t>C1, C10, C11, C13, C14, C15, C16, C18</t>
  </si>
  <si>
    <t>C2</t>
  </si>
  <si>
    <t>C3, C4, C7</t>
  </si>
  <si>
    <t>C5</t>
  </si>
  <si>
    <t>C6, C12</t>
  </si>
  <si>
    <t>C8, C36, C41</t>
  </si>
  <si>
    <t>C9, C17</t>
  </si>
  <si>
    <t>C19, C20, C21, C22</t>
  </si>
  <si>
    <t>C23, C24, C27</t>
  </si>
  <si>
    <t>C25, C26, C30</t>
  </si>
  <si>
    <t>C28, C29, C31, C32</t>
  </si>
  <si>
    <t>C33, C34</t>
  </si>
  <si>
    <t>C35, C42</t>
  </si>
  <si>
    <t>C37, C40</t>
  </si>
  <si>
    <t>C38</t>
  </si>
  <si>
    <t>C39</t>
  </si>
  <si>
    <t>C43, C44</t>
  </si>
  <si>
    <t>D1</t>
  </si>
  <si>
    <t>D2</t>
  </si>
  <si>
    <t>F1</t>
  </si>
  <si>
    <t>FB1, FB3</t>
  </si>
  <si>
    <t>FB2</t>
  </si>
  <si>
    <t>J1</t>
  </si>
  <si>
    <t>J3</t>
  </si>
  <si>
    <t>J9</t>
  </si>
  <si>
    <t>L1</t>
  </si>
  <si>
    <t>L2, L3</t>
  </si>
  <si>
    <t>LED1, LED2, LED3</t>
  </si>
  <si>
    <t>Q1</t>
  </si>
  <si>
    <t>Q2</t>
  </si>
  <si>
    <t>Q3</t>
  </si>
  <si>
    <t>R1</t>
  </si>
  <si>
    <t>R3, R4</t>
  </si>
  <si>
    <t>R5, R6</t>
  </si>
  <si>
    <t>R7</t>
  </si>
  <si>
    <t>R8, R9, R18, R19</t>
  </si>
  <si>
    <t>R10</t>
  </si>
  <si>
    <t>R11, R21, R28, R29</t>
  </si>
  <si>
    <t>R12, R13, R14, R15, R16, R17</t>
  </si>
  <si>
    <t>R20</t>
  </si>
  <si>
    <t>R22, R23, R24, R25</t>
  </si>
  <si>
    <t>R30</t>
  </si>
  <si>
    <t>R31, R32</t>
  </si>
  <si>
    <t>R33</t>
  </si>
  <si>
    <t>R34</t>
  </si>
  <si>
    <t>R35</t>
  </si>
  <si>
    <t>R36, R37, R38, R39</t>
  </si>
  <si>
    <t>R40</t>
  </si>
  <si>
    <t>R41</t>
  </si>
  <si>
    <t>R42</t>
  </si>
  <si>
    <t>R43</t>
  </si>
  <si>
    <t>R44</t>
  </si>
  <si>
    <t>R45, R46</t>
  </si>
  <si>
    <t>SW1, SW4, SW5, SW6</t>
  </si>
  <si>
    <t>SW2</t>
  </si>
  <si>
    <t>SW3</t>
  </si>
  <si>
    <t>U1</t>
  </si>
  <si>
    <t>U2</t>
  </si>
  <si>
    <t>U3</t>
  </si>
  <si>
    <t>U4</t>
  </si>
  <si>
    <t>U5</t>
  </si>
  <si>
    <t>Description</t>
  </si>
  <si>
    <t>CAP CER 0.1UF 25V X5R 0402</t>
  </si>
  <si>
    <t>CAP CER 4700PF 1KV X7R 1206</t>
  </si>
  <si>
    <t>CAP CER 10000PF 50V C0G/NPO 0603</t>
  </si>
  <si>
    <t>CAP CER 22UF 25V X5R 0805</t>
  </si>
  <si>
    <t>CAP CER 1UF 25V X5R 0603</t>
  </si>
  <si>
    <t>CAP CER 10UF 16V X5R 0603</t>
  </si>
  <si>
    <t>CAP CER 22UF 10V X5R 0603</t>
  </si>
  <si>
    <t>25V 3.3uF X5R ±20% 0603 Multilayer Ceramic Capacitors MLCC - SMD/SMT ROHS</t>
  </si>
  <si>
    <t>CAP CER 0.1UF 50V X7R 0603</t>
  </si>
  <si>
    <t>CAP CER 10UF 25V X7R 0805</t>
  </si>
  <si>
    <t>CAP CER 2200PF 16V X7R 0603</t>
  </si>
  <si>
    <t>CAP CER 0.1UF 16V X5R 0402</t>
  </si>
  <si>
    <t>470uF 16V ±20% SMD,D6.3xL7.7mm Aluminum Electrolytic Capacitors - SMD ROHS</t>
  </si>
  <si>
    <t>CAP CER 1UF 25V X5R 0402</t>
  </si>
  <si>
    <t>CAP CER 1000PF 25V C0G/NPO 0603</t>
  </si>
  <si>
    <t>CAP CER 3300PF 50V C0G/NPO 0603</t>
  </si>
  <si>
    <t>CAP CER 330PF 50V C0G/NPO 0603</t>
  </si>
  <si>
    <t>TVS DIODE 5VWM 6.3VC DSN0603-2</t>
  </si>
  <si>
    <t>0.5mA@40V 40V Single 3A 0.55V@3A SMA(DO-214AC) Schottky Barrier Diodes (SBD) ROHS</t>
  </si>
  <si>
    <t>6V 2A 50A 1W -40℃~+85℃ 4A 4mΩ 5s 45mΩ 0805 Resettable Fuses ROHS</t>
  </si>
  <si>
    <t>FERRITE BEAD 120 OHM 1206 1LN</t>
  </si>
  <si>
    <t>FERRITE BEAD 120 OHM 0603 1LN</t>
  </si>
  <si>
    <t>5A 1 16P Female Type-C SMD USB Connectors ROHS</t>
  </si>
  <si>
    <t>1x6P SH 1 1mm 6 SMD,P=1mm Wire To Board / Wire To Wire Connector ROHS</t>
  </si>
  <si>
    <t>1x2P XH 2P 1 2.54mm 2 -25℃~+85℃ 3A Direct Insert Plugin,P=2.5mm Wire To Board Connector ROHS</t>
  </si>
  <si>
    <t>4.5A 4.7uH ±20% SMD,10.1x10.1mm Power Inductors ROHS</t>
  </si>
  <si>
    <t>3.5A 33uH Integrated molded inductor ±20% 3.5A SMD,8.8x8.2mm Power Inductors ROHS</t>
  </si>
  <si>
    <t>SMD5050 Light Emitting Diodes (LED) ROHS</t>
  </si>
  <si>
    <t>20V 14A 8.5mΩ@4.5V,8A 600mV SOP-8 MOSFETs ROHS</t>
  </si>
  <si>
    <t>30V 100mA 200mW 13Ω@2.5V,1mA 1.5V 1 N-channel SOT-323 MOSFETs ROHS</t>
  </si>
  <si>
    <t>N-CHANNEL 20-V (D-S) MOSFET</t>
  </si>
  <si>
    <t>RES SMD 1M OHM 1% 1/10W 0603</t>
  </si>
  <si>
    <t>RES 0 OHM JUMPER 1/8W 0805</t>
  </si>
  <si>
    <t>RES 5.1K OHM 1% 1/10W 0603</t>
  </si>
  <si>
    <t>RES SMD 0R, 1%, 0.1W, 0603</t>
  </si>
  <si>
    <t>RES SMD 4.7K OHM 5% 1/10W 0603</t>
  </si>
  <si>
    <t>RES 10K OHM 1% 1/16W 0402</t>
  </si>
  <si>
    <t>RES 0 OHM JUMPER 1/4W 1206</t>
  </si>
  <si>
    <t>RES SMD 10K Ohm 1% 1/10W 0603</t>
  </si>
  <si>
    <t>RES SMD 1K OHM 1% 1/10W 0603</t>
  </si>
  <si>
    <t>RES 470 OHM 1% 1/16W 0402</t>
  </si>
  <si>
    <t>RES 1K OHM 1% 1/16W 0402</t>
  </si>
  <si>
    <t>RES 22K OHM 1% 1/4W 1206</t>
  </si>
  <si>
    <t>RES 1 OHM 1% 1/10W 0603</t>
  </si>
  <si>
    <t>RES SMD 510K OHM 0.1% 1/10W 0603</t>
  </si>
  <si>
    <t>RES SMD 110K OHM 0.1% 1/10W 0603</t>
  </si>
  <si>
    <t>RES 1K OHM 5% 1/16W 0402</t>
  </si>
  <si>
    <t>RES SMD 18K OHM 0.1% 1/16W 0402</t>
  </si>
  <si>
    <t>RES SMD 28K OHM 0.1% 1/16W 0402</t>
  </si>
  <si>
    <t>RES 100K OHM 1% 1/10W 0603</t>
  </si>
  <si>
    <t>RES 0 OHM JUMPER 1/10W 0603</t>
  </si>
  <si>
    <t>Plugin-4P,7.7x3.5mm Tactile Switches ROHS</t>
  </si>
  <si>
    <t>No NO 50mA 4.5mm 100000 260gf 12V -30℃~+85℃ 4.5mm 4.3mm Black Round Button Brick nogging SPST SMD Tactile Switches ROHS</t>
  </si>
  <si>
    <t>No NO 50mA 4.5mm 100000 160gf 12V -30℃~+85℃ 4.5mm 8mm Black Round Button Brick nogging SPST SMD Tactile Switches ROHS</t>
  </si>
  <si>
    <t>IC CNTRLR ON/OFF W/DEB TSOT23-6</t>
  </si>
  <si>
    <t>SPX3819 Series 3.3 V 500 mA Fixed Output SMT LDO Regulator - SOT-23-5</t>
  </si>
  <si>
    <t>RF TXRX MODULE BT PCB TRACE SMD</t>
  </si>
  <si>
    <t>QFN-12-EP(2.5x2.5) ADCs/DACs - Special Purpose ROHS</t>
  </si>
  <si>
    <t>SOP8L-PP Audio Power OpAmps ROHS</t>
  </si>
  <si>
    <t>Footprint</t>
  </si>
  <si>
    <t>Cap-0402</t>
  </si>
  <si>
    <t>Cap-1206</t>
  </si>
  <si>
    <t>Cap-0603</t>
  </si>
  <si>
    <t>Cap-0805</t>
  </si>
  <si>
    <t>RVT1C471M0607</t>
  </si>
  <si>
    <t>CAP-0603</t>
  </si>
  <si>
    <t>DSN0603-2</t>
  </si>
  <si>
    <t>SMA</t>
  </si>
  <si>
    <t>Fuse-0805</t>
  </si>
  <si>
    <t>WAFER-XH254Z-2A</t>
  </si>
  <si>
    <t>YSLF1045-4R7M</t>
  </si>
  <si>
    <t>ZEMS0840-330M</t>
  </si>
  <si>
    <t>WS2812B-XF02/W</t>
  </si>
  <si>
    <t>SOP-8</t>
  </si>
  <si>
    <t>SOT-323</t>
  </si>
  <si>
    <t>Sot-23</t>
  </si>
  <si>
    <t>Res-0603</t>
  </si>
  <si>
    <t>Res-0805</t>
  </si>
  <si>
    <t>Res-0402</t>
  </si>
  <si>
    <t>Res-1206</t>
  </si>
  <si>
    <t>TS-1087E-B3D2</t>
  </si>
  <si>
    <t>TS-1109S-C-B</t>
  </si>
  <si>
    <t>TSOT-23-6</t>
  </si>
  <si>
    <t>SOT-23-5</t>
  </si>
  <si>
    <t>38-SMD Module</t>
  </si>
  <si>
    <t>QFN-12-EP(2.5x2.5)</t>
  </si>
  <si>
    <t>Manufacturer Part Number</t>
  </si>
  <si>
    <t>CC0402KRX5R8BB104</t>
  </si>
  <si>
    <t>CC1206KKX7RCBB472</t>
  </si>
  <si>
    <t>CC0603JRNPO9BN103</t>
  </si>
  <si>
    <t>CC0805MKX5R8BB226</t>
  </si>
  <si>
    <t>CC0603KRX5R8BB105</t>
  </si>
  <si>
    <t>CC0603KRX5R7BB106</t>
  </si>
  <si>
    <t>CC0603MRX5R6BB226</t>
  </si>
  <si>
    <t>TCC0603X5R335M250CT</t>
  </si>
  <si>
    <t>CC0603JRX7R9BB104</t>
  </si>
  <si>
    <t>GRM21BZ71E106KE15L</t>
  </si>
  <si>
    <t>AC0603KRX7R7BB222</t>
  </si>
  <si>
    <t>CC0402KRX5R7BB104</t>
  </si>
  <si>
    <t>CC0402KRX5R8BB105</t>
  </si>
  <si>
    <t>CC0603JRNPO8BN102</t>
  </si>
  <si>
    <t>CC0603JRNPO9BN332</t>
  </si>
  <si>
    <t>CC0603JRNPO9BN331</t>
  </si>
  <si>
    <t>PESD5V0H1BSFYL</t>
  </si>
  <si>
    <t>SS34</t>
  </si>
  <si>
    <t>BSMD0805L-200</t>
  </si>
  <si>
    <t>BLM31KN121SZ1L</t>
  </si>
  <si>
    <t>BLM18SG121TZ1D</t>
  </si>
  <si>
    <t>TYPE-C-31-M-12</t>
  </si>
  <si>
    <t>C145963</t>
  </si>
  <si>
    <t>IRF7410TRPBF</t>
  </si>
  <si>
    <t>2SK3018W</t>
  </si>
  <si>
    <t>SI2302CDS</t>
  </si>
  <si>
    <t>RC0603FR-071ML</t>
  </si>
  <si>
    <t>RC0805FR-070RL</t>
  </si>
  <si>
    <t>RC0603FR-075K1L</t>
  </si>
  <si>
    <t>RC0603FR-070RL</t>
  </si>
  <si>
    <t>RC0603JR-074K7L</t>
  </si>
  <si>
    <t>RC0402FR-0710KL</t>
  </si>
  <si>
    <t>RC1206JR-070RL</t>
  </si>
  <si>
    <t>RC0603FR-0710KL</t>
  </si>
  <si>
    <t>RC0603FR-071KL</t>
  </si>
  <si>
    <t>RC0402FR-07470RL</t>
  </si>
  <si>
    <t>RC0402FR-071KL</t>
  </si>
  <si>
    <t>CRCW120622K0FKEAC</t>
  </si>
  <si>
    <t>RC0603FR-071RL</t>
  </si>
  <si>
    <t>RT0603BRD07510KL</t>
  </si>
  <si>
    <t>RT0603BRE07110KL</t>
  </si>
  <si>
    <t>RC0402JR-071KL</t>
  </si>
  <si>
    <t>RT0402BRD0718KL</t>
  </si>
  <si>
    <t>RT0402BRD0728KL</t>
  </si>
  <si>
    <t>RC0603FR-07100KL</t>
  </si>
  <si>
    <t>RC0603JR-070RL</t>
  </si>
  <si>
    <t>TS-1109S-B-J</t>
  </si>
  <si>
    <t>MAX16054AZT+T</t>
  </si>
  <si>
    <t>SPX3819M5-L-3-3/TR</t>
  </si>
  <si>
    <t>ESP32-WROOM-32E-N8R2</t>
  </si>
  <si>
    <t>ES7149</t>
  </si>
  <si>
    <t>HT8691RSPER</t>
  </si>
  <si>
    <t>Manufacturer</t>
  </si>
  <si>
    <t>Yageo</t>
  </si>
  <si>
    <t>CCTC</t>
  </si>
  <si>
    <t>Murata</t>
  </si>
  <si>
    <t>ROQANG</t>
  </si>
  <si>
    <t>Nexperia</t>
  </si>
  <si>
    <t>MDD</t>
  </si>
  <si>
    <t>BHFUSE</t>
  </si>
  <si>
    <t>Korean Hroparts Elec</t>
  </si>
  <si>
    <t>BOOMELE</t>
  </si>
  <si>
    <t>Hanbo Electronic</t>
  </si>
  <si>
    <t>YJYCOIN</t>
  </si>
  <si>
    <t>ZE</t>
  </si>
  <si>
    <t>Worldsemi</t>
  </si>
  <si>
    <t>TECH PUBLIC</t>
  </si>
  <si>
    <t>TWGMC</t>
  </si>
  <si>
    <t>Vishay</t>
  </si>
  <si>
    <t>Yuandi</t>
  </si>
  <si>
    <t>XKB Connectivity</t>
  </si>
  <si>
    <t>Maxim</t>
  </si>
  <si>
    <t>MaxLinear</t>
  </si>
  <si>
    <t>Espressif Systems</t>
  </si>
  <si>
    <t>Everest-semi(Everest Semiconductor)</t>
  </si>
  <si>
    <t>Jiaxing Heroic Elec Tech</t>
  </si>
  <si>
    <t>100nF</t>
  </si>
  <si>
    <t>4.7nF</t>
  </si>
  <si>
    <t>10nF</t>
  </si>
  <si>
    <t>22uF</t>
  </si>
  <si>
    <t>1uF</t>
  </si>
  <si>
    <t>10uF</t>
  </si>
  <si>
    <t>3.3uF</t>
  </si>
  <si>
    <t>0.1uF</t>
  </si>
  <si>
    <t>2.2nF</t>
  </si>
  <si>
    <t>470uF</t>
  </si>
  <si>
    <t>1nF</t>
  </si>
  <si>
    <t>3.3nF</t>
  </si>
  <si>
    <t>330pF</t>
  </si>
  <si>
    <t>4.7uH</t>
  </si>
  <si>
    <t>33uH</t>
  </si>
  <si>
    <t>1M</t>
  </si>
  <si>
    <t>DNP</t>
  </si>
  <si>
    <t>5.1K</t>
  </si>
  <si>
    <t>4.7K</t>
  </si>
  <si>
    <t>10K</t>
  </si>
  <si>
    <t>0R</t>
  </si>
  <si>
    <t>1K</t>
  </si>
  <si>
    <t>470R</t>
  </si>
  <si>
    <t>22K</t>
  </si>
  <si>
    <t>1R</t>
  </si>
  <si>
    <t>510K</t>
  </si>
  <si>
    <t>110K</t>
  </si>
  <si>
    <t>18K</t>
  </si>
  <si>
    <t>28K</t>
  </si>
  <si>
    <t>100K</t>
  </si>
  <si>
    <t>Quantity</t>
  </si>
  <si>
    <t>Remarks</t>
  </si>
  <si>
    <t>Value</t>
  </si>
  <si>
    <t>-</t>
  </si>
  <si>
    <t>DO NOT PLACE</t>
  </si>
  <si>
    <t>https://item.szlcsc.com/8437677.html?fromZone=s_s__%2522XH2.54%2522&amp;spm=sc.gb.xh4.zy.n___sc.gb.hd.ss&amp;lcsc_vid=QVZaAlVRFVlZV1JWEgNcV1ACRllZXl0FQ1IKU1NWEgcxVlNSQFdbV11WR1JfVDtW</t>
  </si>
  <si>
    <t>0603 (1608 Metric)</t>
  </si>
  <si>
    <t>custom</t>
  </si>
  <si>
    <t>Speaker</t>
  </si>
  <si>
    <t>Peripheral</t>
  </si>
  <si>
    <t>Speakers ROHS</t>
  </si>
  <si>
    <t>FUET</t>
  </si>
  <si>
    <t>FS40DS0450-H18</t>
  </si>
  <si>
    <t>Speaker Harness</t>
  </si>
  <si>
    <t>5/10/20Pcs JST XH 2.54mm Pitch 1S 2 Pin Balance Plug Lead Connector XH2.54 2 Pin With 22AWG Silicone Wire Cables 10/15/20CM - AliExpress 13</t>
  </si>
  <si>
    <t>JST XH 2.54mm Pitch XH2.54 2 Pin, 22AWG</t>
  </si>
  <si>
    <t>R2</t>
  </si>
  <si>
    <t>R49, R26, R27, R47, R48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</si>
</sst>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7" fillId="0" borderId="0" xfId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3256806982979252.html?spm=a2g0o.productlist.main.57.65b06abaeb2ob9&amp;algo_pvid=05a13276-66bd-4d5f-96fc-ad82052d912d&amp;algo_exp_id=05a13276-66bd-4d5f-96fc-ad82052d912d-28&amp;pdp_ext_f=%7B%22order%22%3A%2279%22%2C%22eval%22%3A%221%22%7D&amp;pdp_npi=4%40dis%21USD%211.52%210.99%21%21%211.52%210.99%21%402102f0c917415940874732422ecd01%2112000039683406669%21sea%21US%210%21ABX&amp;curPageLogUid=eJHE9Ksk84HQ&amp;utparam-url=scene%3Asearch%7Cquery_from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7"/>
  <sheetViews>
    <sheetView tabSelected="1" topLeftCell="B19" workbookViewId="0">
      <selection activeCell="D37" sqref="D37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131.109375" bestFit="1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28"/>
      <c r="J1" s="28"/>
      <c r="K1" s="28"/>
    </row>
    <row r="2" spans="1:11" ht="15" thickBot="1" x14ac:dyDescent="0.35">
      <c r="A2" s="1"/>
      <c r="B2" s="5" t="s">
        <v>0</v>
      </c>
      <c r="C2" s="5" t="s">
        <v>1</v>
      </c>
      <c r="D2" s="5" t="s">
        <v>19</v>
      </c>
      <c r="E2" s="6" t="s">
        <v>81</v>
      </c>
      <c r="F2" s="5" t="s">
        <v>141</v>
      </c>
      <c r="G2" s="6" t="s">
        <v>168</v>
      </c>
      <c r="H2" s="5" t="s">
        <v>221</v>
      </c>
      <c r="I2" s="6" t="s">
        <v>277</v>
      </c>
      <c r="J2" s="5" t="s">
        <v>275</v>
      </c>
      <c r="K2" s="5" t="s">
        <v>276</v>
      </c>
    </row>
    <row r="3" spans="1:11" ht="15" thickBot="1" x14ac:dyDescent="0.35">
      <c r="A3" s="1"/>
      <c r="B3" s="11">
        <f>ROW(B3) - ROW($B$2)</f>
        <v>1</v>
      </c>
      <c r="C3" s="12" t="s">
        <v>2</v>
      </c>
      <c r="D3" s="7" t="s">
        <v>20</v>
      </c>
      <c r="E3" s="8" t="s">
        <v>82</v>
      </c>
      <c r="F3" s="7" t="s">
        <v>142</v>
      </c>
      <c r="G3" s="8" t="s">
        <v>169</v>
      </c>
      <c r="H3" s="7" t="s">
        <v>222</v>
      </c>
      <c r="I3" s="8" t="s">
        <v>245</v>
      </c>
      <c r="J3" s="7">
        <v>8</v>
      </c>
      <c r="K3" s="7"/>
    </row>
    <row r="4" spans="1:11" ht="15" thickBot="1" x14ac:dyDescent="0.35">
      <c r="A4" s="1"/>
      <c r="B4" s="11">
        <f t="shared" ref="B4:B65" si="0">ROW(B4) - ROW($B$2)</f>
        <v>2</v>
      </c>
      <c r="C4" s="13" t="s">
        <v>2</v>
      </c>
      <c r="D4" s="9" t="s">
        <v>21</v>
      </c>
      <c r="E4" s="10" t="s">
        <v>83</v>
      </c>
      <c r="F4" s="9" t="s">
        <v>143</v>
      </c>
      <c r="G4" s="10" t="s">
        <v>170</v>
      </c>
      <c r="H4" s="9" t="s">
        <v>222</v>
      </c>
      <c r="I4" s="10" t="s">
        <v>246</v>
      </c>
      <c r="J4" s="9">
        <v>1</v>
      </c>
      <c r="K4" s="9"/>
    </row>
    <row r="5" spans="1:11" ht="15" thickBot="1" x14ac:dyDescent="0.35">
      <c r="A5" s="1"/>
      <c r="B5" s="11">
        <f>ROW(B5) - ROW($B$2)</f>
        <v>3</v>
      </c>
      <c r="C5" s="12" t="s">
        <v>2</v>
      </c>
      <c r="D5" s="7" t="s">
        <v>22</v>
      </c>
      <c r="E5" s="8" t="s">
        <v>84</v>
      </c>
      <c r="F5" s="7" t="s">
        <v>144</v>
      </c>
      <c r="G5" s="8" t="s">
        <v>171</v>
      </c>
      <c r="H5" s="7" t="s">
        <v>222</v>
      </c>
      <c r="I5" s="8" t="s">
        <v>247</v>
      </c>
      <c r="J5" s="7">
        <v>3</v>
      </c>
      <c r="K5" s="7"/>
    </row>
    <row r="6" spans="1:11" ht="15" thickBot="1" x14ac:dyDescent="0.35">
      <c r="A6" s="1"/>
      <c r="B6" s="11">
        <f t="shared" si="0"/>
        <v>4</v>
      </c>
      <c r="C6" s="13" t="s">
        <v>2</v>
      </c>
      <c r="D6" s="9" t="s">
        <v>23</v>
      </c>
      <c r="E6" s="10" t="s">
        <v>85</v>
      </c>
      <c r="F6" s="9" t="s">
        <v>145</v>
      </c>
      <c r="G6" s="10" t="s">
        <v>172</v>
      </c>
      <c r="H6" s="9" t="s">
        <v>222</v>
      </c>
      <c r="I6" s="10" t="s">
        <v>248</v>
      </c>
      <c r="J6" s="9">
        <v>1</v>
      </c>
      <c r="K6" s="9"/>
    </row>
    <row r="7" spans="1:11" ht="15" thickBot="1" x14ac:dyDescent="0.35">
      <c r="A7" s="1"/>
      <c r="B7" s="11">
        <f>ROW(B7) - ROW($B$2)</f>
        <v>5</v>
      </c>
      <c r="C7" s="12" t="s">
        <v>2</v>
      </c>
      <c r="D7" s="7" t="s">
        <v>24</v>
      </c>
      <c r="E7" s="8" t="s">
        <v>86</v>
      </c>
      <c r="F7" s="7" t="s">
        <v>144</v>
      </c>
      <c r="G7" s="8" t="s">
        <v>173</v>
      </c>
      <c r="H7" s="7" t="s">
        <v>222</v>
      </c>
      <c r="I7" s="8" t="s">
        <v>249</v>
      </c>
      <c r="J7" s="7">
        <v>2</v>
      </c>
      <c r="K7" s="7"/>
    </row>
    <row r="8" spans="1:11" ht="15" thickBot="1" x14ac:dyDescent="0.35">
      <c r="A8" s="1"/>
      <c r="B8" s="11">
        <f t="shared" si="0"/>
        <v>6</v>
      </c>
      <c r="C8" s="13" t="s">
        <v>2</v>
      </c>
      <c r="D8" s="9" t="s">
        <v>25</v>
      </c>
      <c r="E8" s="10" t="s">
        <v>87</v>
      </c>
      <c r="F8" s="9" t="s">
        <v>144</v>
      </c>
      <c r="G8" s="10" t="s">
        <v>174</v>
      </c>
      <c r="H8" s="9" t="s">
        <v>222</v>
      </c>
      <c r="I8" s="10" t="s">
        <v>250</v>
      </c>
      <c r="J8" s="9">
        <v>3</v>
      </c>
      <c r="K8" s="9"/>
    </row>
    <row r="9" spans="1:11" ht="15" thickBot="1" x14ac:dyDescent="0.35">
      <c r="A9" s="1"/>
      <c r="B9" s="11">
        <f>ROW(B9) - ROW($B$2)</f>
        <v>7</v>
      </c>
      <c r="C9" s="12" t="s">
        <v>2</v>
      </c>
      <c r="D9" s="7" t="s">
        <v>26</v>
      </c>
      <c r="E9" s="8" t="s">
        <v>88</v>
      </c>
      <c r="F9" s="7" t="s">
        <v>144</v>
      </c>
      <c r="G9" s="8" t="s">
        <v>175</v>
      </c>
      <c r="H9" s="7" t="s">
        <v>222</v>
      </c>
      <c r="I9" s="8" t="s">
        <v>248</v>
      </c>
      <c r="J9" s="7">
        <v>2</v>
      </c>
      <c r="K9" s="7"/>
    </row>
    <row r="10" spans="1:11" ht="36.6" thickBot="1" x14ac:dyDescent="0.35">
      <c r="A10" s="1"/>
      <c r="B10" s="11">
        <f t="shared" si="0"/>
        <v>8</v>
      </c>
      <c r="C10" s="13" t="s">
        <v>2</v>
      </c>
      <c r="D10" s="9" t="s">
        <v>27</v>
      </c>
      <c r="E10" s="10" t="s">
        <v>89</v>
      </c>
      <c r="F10" s="9" t="s">
        <v>144</v>
      </c>
      <c r="G10" s="10" t="s">
        <v>176</v>
      </c>
      <c r="H10" s="9" t="s">
        <v>223</v>
      </c>
      <c r="I10" s="10" t="s">
        <v>251</v>
      </c>
      <c r="J10" s="9">
        <v>4</v>
      </c>
      <c r="K10" s="9"/>
    </row>
    <row r="11" spans="1:11" ht="15" thickBot="1" x14ac:dyDescent="0.35">
      <c r="A11" s="1"/>
      <c r="B11" s="11">
        <f>ROW(B11) - ROW($B$2)</f>
        <v>9</v>
      </c>
      <c r="C11" s="12" t="s">
        <v>3</v>
      </c>
      <c r="D11" s="7" t="s">
        <v>28</v>
      </c>
      <c r="E11" s="8" t="s">
        <v>90</v>
      </c>
      <c r="F11" s="7" t="s">
        <v>144</v>
      </c>
      <c r="G11" s="8" t="s">
        <v>177</v>
      </c>
      <c r="H11" s="7" t="s">
        <v>222</v>
      </c>
      <c r="I11" s="8" t="s">
        <v>252</v>
      </c>
      <c r="J11" s="7">
        <v>3</v>
      </c>
      <c r="K11" s="7"/>
    </row>
    <row r="12" spans="1:11" ht="15" thickBot="1" x14ac:dyDescent="0.35">
      <c r="A12" s="1"/>
      <c r="B12" s="11">
        <f t="shared" si="0"/>
        <v>10</v>
      </c>
      <c r="C12" s="13" t="s">
        <v>3</v>
      </c>
      <c r="D12" s="9" t="s">
        <v>29</v>
      </c>
      <c r="E12" s="10" t="s">
        <v>91</v>
      </c>
      <c r="F12" s="9" t="s">
        <v>145</v>
      </c>
      <c r="G12" s="10" t="s">
        <v>178</v>
      </c>
      <c r="H12" s="9" t="s">
        <v>224</v>
      </c>
      <c r="I12" s="10" t="s">
        <v>250</v>
      </c>
      <c r="J12" s="9">
        <v>3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2</v>
      </c>
      <c r="D13" s="7" t="s">
        <v>30</v>
      </c>
      <c r="E13" s="8" t="s">
        <v>92</v>
      </c>
      <c r="F13" s="7" t="s">
        <v>144</v>
      </c>
      <c r="G13" s="8" t="s">
        <v>179</v>
      </c>
      <c r="H13" s="7" t="s">
        <v>222</v>
      </c>
      <c r="I13" s="8" t="s">
        <v>253</v>
      </c>
      <c r="J13" s="7">
        <v>4</v>
      </c>
      <c r="K13" s="7"/>
    </row>
    <row r="14" spans="1:11" ht="15" thickBot="1" x14ac:dyDescent="0.35">
      <c r="A14" s="1"/>
      <c r="B14" s="11">
        <f t="shared" si="0"/>
        <v>12</v>
      </c>
      <c r="C14" s="13"/>
      <c r="D14" s="9" t="s">
        <v>31</v>
      </c>
      <c r="E14" s="10" t="s">
        <v>93</v>
      </c>
      <c r="F14" s="9" t="s">
        <v>142</v>
      </c>
      <c r="G14" s="10" t="s">
        <v>180</v>
      </c>
      <c r="H14" s="9" t="s">
        <v>222</v>
      </c>
      <c r="I14" s="10" t="s">
        <v>245</v>
      </c>
      <c r="J14" s="9">
        <v>2</v>
      </c>
      <c r="K14" s="9"/>
    </row>
    <row r="15" spans="1:11" ht="36.6" thickBot="1" x14ac:dyDescent="0.35">
      <c r="A15" s="1"/>
      <c r="B15" s="11">
        <f>ROW(B15) - ROW($B$2)</f>
        <v>13</v>
      </c>
      <c r="C15" s="12" t="s">
        <v>2</v>
      </c>
      <c r="D15" s="7" t="s">
        <v>32</v>
      </c>
      <c r="E15" s="8" t="s">
        <v>94</v>
      </c>
      <c r="F15" s="7" t="s">
        <v>282</v>
      </c>
      <c r="G15" s="8" t="s">
        <v>146</v>
      </c>
      <c r="H15" s="7" t="s">
        <v>225</v>
      </c>
      <c r="I15" s="8" t="s">
        <v>254</v>
      </c>
      <c r="J15" s="7">
        <v>2</v>
      </c>
      <c r="K15" s="7"/>
    </row>
    <row r="16" spans="1:11" ht="15" thickBot="1" x14ac:dyDescent="0.35">
      <c r="A16" s="1"/>
      <c r="B16" s="11">
        <f t="shared" si="0"/>
        <v>14</v>
      </c>
      <c r="C16" s="13"/>
      <c r="D16" s="9" t="s">
        <v>33</v>
      </c>
      <c r="E16" s="10" t="s">
        <v>95</v>
      </c>
      <c r="F16" s="9" t="s">
        <v>142</v>
      </c>
      <c r="G16" s="10" t="s">
        <v>181</v>
      </c>
      <c r="H16" s="9" t="s">
        <v>222</v>
      </c>
      <c r="I16" s="10" t="s">
        <v>249</v>
      </c>
      <c r="J16" s="9">
        <v>2</v>
      </c>
      <c r="K16" s="9"/>
    </row>
    <row r="17" spans="1:11" ht="15" thickBot="1" x14ac:dyDescent="0.35">
      <c r="A17" s="1"/>
      <c r="B17" s="11">
        <f>ROW(B17) - ROW($B$2)</f>
        <v>15</v>
      </c>
      <c r="C17" s="12" t="s">
        <v>2</v>
      </c>
      <c r="D17" s="7" t="s">
        <v>34</v>
      </c>
      <c r="E17" s="8" t="s">
        <v>96</v>
      </c>
      <c r="F17" s="7" t="s">
        <v>147</v>
      </c>
      <c r="G17" s="8" t="s">
        <v>182</v>
      </c>
      <c r="H17" s="7" t="s">
        <v>222</v>
      </c>
      <c r="I17" s="8" t="s">
        <v>255</v>
      </c>
      <c r="J17" s="7">
        <v>1</v>
      </c>
      <c r="K17" s="7"/>
    </row>
    <row r="18" spans="1:11" ht="15" thickBot="1" x14ac:dyDescent="0.35">
      <c r="A18" s="1"/>
      <c r="B18" s="11">
        <f t="shared" si="0"/>
        <v>16</v>
      </c>
      <c r="C18" s="13" t="s">
        <v>2</v>
      </c>
      <c r="D18" s="9" t="s">
        <v>35</v>
      </c>
      <c r="E18" s="10" t="s">
        <v>97</v>
      </c>
      <c r="F18" s="9" t="s">
        <v>144</v>
      </c>
      <c r="G18" s="10" t="s">
        <v>183</v>
      </c>
      <c r="H18" s="9" t="s">
        <v>222</v>
      </c>
      <c r="I18" s="10" t="s">
        <v>256</v>
      </c>
      <c r="J18" s="9">
        <v>1</v>
      </c>
      <c r="K18" s="9"/>
    </row>
    <row r="19" spans="1:11" ht="15" thickBot="1" x14ac:dyDescent="0.35">
      <c r="A19" s="1"/>
      <c r="B19" s="11">
        <f>ROW(B19) - ROW($B$2)</f>
        <v>17</v>
      </c>
      <c r="C19" s="12" t="s">
        <v>2</v>
      </c>
      <c r="D19" s="7" t="s">
        <v>36</v>
      </c>
      <c r="E19" s="8" t="s">
        <v>98</v>
      </c>
      <c r="F19" s="7" t="s">
        <v>144</v>
      </c>
      <c r="G19" s="8" t="s">
        <v>184</v>
      </c>
      <c r="H19" s="7" t="s">
        <v>222</v>
      </c>
      <c r="I19" s="8" t="s">
        <v>257</v>
      </c>
      <c r="J19" s="7">
        <v>2</v>
      </c>
      <c r="K19" s="7"/>
    </row>
    <row r="20" spans="1:11" ht="15" thickBot="1" x14ac:dyDescent="0.35">
      <c r="A20" s="1"/>
      <c r="B20" s="11">
        <f t="shared" si="0"/>
        <v>18</v>
      </c>
      <c r="C20" s="13" t="s">
        <v>4</v>
      </c>
      <c r="D20" s="9" t="s">
        <v>37</v>
      </c>
      <c r="E20" s="10" t="s">
        <v>99</v>
      </c>
      <c r="F20" s="9" t="s">
        <v>148</v>
      </c>
      <c r="G20" s="10" t="s">
        <v>185</v>
      </c>
      <c r="H20" s="9" t="s">
        <v>226</v>
      </c>
      <c r="I20" s="10" t="s">
        <v>278</v>
      </c>
      <c r="J20" s="9">
        <v>1</v>
      </c>
      <c r="K20" s="9"/>
    </row>
    <row r="21" spans="1:11" ht="36.6" thickBot="1" x14ac:dyDescent="0.35">
      <c r="A21" s="1"/>
      <c r="B21" s="11">
        <f>ROW(B21) - ROW($B$2)</f>
        <v>19</v>
      </c>
      <c r="C21" s="12" t="s">
        <v>4</v>
      </c>
      <c r="D21" s="7" t="s">
        <v>38</v>
      </c>
      <c r="E21" s="8" t="s">
        <v>100</v>
      </c>
      <c r="F21" s="7" t="s">
        <v>149</v>
      </c>
      <c r="G21" s="8" t="s">
        <v>186</v>
      </c>
      <c r="H21" s="7" t="s">
        <v>227</v>
      </c>
      <c r="I21" s="8" t="s">
        <v>278</v>
      </c>
      <c r="J21" s="7">
        <v>1</v>
      </c>
      <c r="K21" s="7"/>
    </row>
    <row r="22" spans="1:11" ht="24.6" thickBot="1" x14ac:dyDescent="0.35">
      <c r="A22" s="1"/>
      <c r="B22" s="11">
        <f t="shared" si="0"/>
        <v>20</v>
      </c>
      <c r="C22" s="13" t="s">
        <v>5</v>
      </c>
      <c r="D22" s="9" t="s">
        <v>39</v>
      </c>
      <c r="E22" s="10" t="s">
        <v>101</v>
      </c>
      <c r="F22" s="9" t="s">
        <v>150</v>
      </c>
      <c r="G22" s="10" t="s">
        <v>187</v>
      </c>
      <c r="H22" s="9" t="s">
        <v>228</v>
      </c>
      <c r="I22" s="10" t="s">
        <v>278</v>
      </c>
      <c r="J22" s="9">
        <v>1</v>
      </c>
      <c r="K22" s="9"/>
    </row>
    <row r="23" spans="1:11" ht="15" thickBot="1" x14ac:dyDescent="0.35">
      <c r="A23" s="1"/>
      <c r="B23" s="11">
        <f>ROW(B23) - ROW($B$2)</f>
        <v>21</v>
      </c>
      <c r="C23" s="12" t="s">
        <v>6</v>
      </c>
      <c r="D23" s="7" t="s">
        <v>40</v>
      </c>
      <c r="E23" s="8" t="s">
        <v>102</v>
      </c>
      <c r="F23" s="7">
        <v>1206</v>
      </c>
      <c r="G23" s="8" t="s">
        <v>188</v>
      </c>
      <c r="H23" s="7" t="s">
        <v>224</v>
      </c>
      <c r="I23" s="8" t="s">
        <v>278</v>
      </c>
      <c r="J23" s="7">
        <v>2</v>
      </c>
      <c r="K23" s="7"/>
    </row>
    <row r="24" spans="1:11" ht="15" thickBot="1" x14ac:dyDescent="0.35">
      <c r="A24" s="1"/>
      <c r="B24" s="11">
        <f t="shared" si="0"/>
        <v>22</v>
      </c>
      <c r="C24" s="13" t="s">
        <v>6</v>
      </c>
      <c r="D24" s="9" t="s">
        <v>41</v>
      </c>
      <c r="E24" s="10" t="s">
        <v>103</v>
      </c>
      <c r="F24" s="9" t="s">
        <v>281</v>
      </c>
      <c r="G24" s="10" t="s">
        <v>189</v>
      </c>
      <c r="H24" s="9" t="s">
        <v>224</v>
      </c>
      <c r="I24" s="10" t="s">
        <v>278</v>
      </c>
      <c r="J24" s="9">
        <v>1</v>
      </c>
      <c r="K24" s="9"/>
    </row>
    <row r="25" spans="1:11" ht="24.6" thickBot="1" x14ac:dyDescent="0.35">
      <c r="A25" s="1"/>
      <c r="B25" s="11">
        <f>ROW(B25) - ROW($B$2)</f>
        <v>23</v>
      </c>
      <c r="C25" s="12" t="s">
        <v>7</v>
      </c>
      <c r="D25" s="7" t="s">
        <v>42</v>
      </c>
      <c r="E25" s="8" t="s">
        <v>104</v>
      </c>
      <c r="F25" s="7" t="s">
        <v>278</v>
      </c>
      <c r="G25" s="8" t="s">
        <v>190</v>
      </c>
      <c r="H25" s="7" t="s">
        <v>229</v>
      </c>
      <c r="I25" s="8" t="s">
        <v>278</v>
      </c>
      <c r="J25" s="7">
        <v>1</v>
      </c>
      <c r="K25" s="7"/>
    </row>
    <row r="26" spans="1:11" ht="24.6" thickBot="1" x14ac:dyDescent="0.35">
      <c r="A26" s="1"/>
      <c r="B26" s="11">
        <f t="shared" si="0"/>
        <v>24</v>
      </c>
      <c r="C26" s="13" t="s">
        <v>8</v>
      </c>
      <c r="D26" s="9" t="s">
        <v>43</v>
      </c>
      <c r="E26" s="10" t="s">
        <v>105</v>
      </c>
      <c r="F26" s="9" t="s">
        <v>278</v>
      </c>
      <c r="G26" s="10" t="s">
        <v>191</v>
      </c>
      <c r="H26" s="9" t="s">
        <v>230</v>
      </c>
      <c r="I26" s="10" t="s">
        <v>278</v>
      </c>
      <c r="J26" s="9">
        <v>1</v>
      </c>
      <c r="K26" s="9"/>
    </row>
    <row r="27" spans="1:11" ht="36.6" thickBot="1" x14ac:dyDescent="0.35">
      <c r="A27" s="1"/>
      <c r="B27" s="11">
        <f>ROW(B27) - ROW($B$2)</f>
        <v>25</v>
      </c>
      <c r="C27" s="12" t="s">
        <v>9</v>
      </c>
      <c r="D27" s="7" t="s">
        <v>44</v>
      </c>
      <c r="E27" s="8" t="s">
        <v>106</v>
      </c>
      <c r="F27" s="7" t="s">
        <v>278</v>
      </c>
      <c r="G27" s="8" t="s">
        <v>151</v>
      </c>
      <c r="H27" s="7" t="s">
        <v>231</v>
      </c>
      <c r="I27" s="8" t="s">
        <v>278</v>
      </c>
      <c r="J27" s="7">
        <v>1</v>
      </c>
      <c r="K27" s="7" t="s">
        <v>280</v>
      </c>
    </row>
    <row r="28" spans="1:11" ht="24.6" thickBot="1" x14ac:dyDescent="0.35">
      <c r="A28" s="1"/>
      <c r="B28" s="11">
        <f t="shared" si="0"/>
        <v>26</v>
      </c>
      <c r="C28" s="13" t="s">
        <v>10</v>
      </c>
      <c r="D28" s="9" t="s">
        <v>45</v>
      </c>
      <c r="E28" s="10" t="s">
        <v>107</v>
      </c>
      <c r="F28" s="9" t="s">
        <v>282</v>
      </c>
      <c r="G28" s="10" t="s">
        <v>152</v>
      </c>
      <c r="H28" s="9" t="s">
        <v>232</v>
      </c>
      <c r="I28" s="10" t="s">
        <v>258</v>
      </c>
      <c r="J28" s="9">
        <v>1</v>
      </c>
      <c r="K28" s="9"/>
    </row>
    <row r="29" spans="1:11" ht="36.6" thickBot="1" x14ac:dyDescent="0.35">
      <c r="A29" s="1"/>
      <c r="B29" s="11">
        <f>ROW(B29) - ROW($B$2)</f>
        <v>27</v>
      </c>
      <c r="C29" s="12" t="s">
        <v>10</v>
      </c>
      <c r="D29" s="7" t="s">
        <v>46</v>
      </c>
      <c r="E29" s="8" t="s">
        <v>108</v>
      </c>
      <c r="F29" s="7" t="s">
        <v>282</v>
      </c>
      <c r="G29" s="8" t="s">
        <v>153</v>
      </c>
      <c r="H29" s="7" t="s">
        <v>233</v>
      </c>
      <c r="I29" s="8" t="s">
        <v>259</v>
      </c>
      <c r="J29" s="7">
        <v>2</v>
      </c>
      <c r="K29" s="7"/>
    </row>
    <row r="30" spans="1:11" ht="24.6" thickBot="1" x14ac:dyDescent="0.35">
      <c r="A30" s="1"/>
      <c r="B30" s="11">
        <f t="shared" si="0"/>
        <v>28</v>
      </c>
      <c r="C30" s="13" t="s">
        <v>11</v>
      </c>
      <c r="D30" s="9" t="s">
        <v>47</v>
      </c>
      <c r="E30" s="10" t="s">
        <v>109</v>
      </c>
      <c r="F30" s="9" t="s">
        <v>282</v>
      </c>
      <c r="G30" s="10" t="s">
        <v>154</v>
      </c>
      <c r="H30" s="9" t="s">
        <v>234</v>
      </c>
      <c r="I30" s="10" t="s">
        <v>278</v>
      </c>
      <c r="J30" s="9">
        <v>3</v>
      </c>
      <c r="K30" s="9"/>
    </row>
    <row r="31" spans="1:11" ht="24.6" thickBot="1" x14ac:dyDescent="0.35">
      <c r="A31" s="1"/>
      <c r="B31" s="11">
        <f>ROW(B31) - ROW($B$2)</f>
        <v>29</v>
      </c>
      <c r="C31" s="12" t="s">
        <v>12</v>
      </c>
      <c r="D31" s="7" t="s">
        <v>48</v>
      </c>
      <c r="E31" s="8" t="s">
        <v>110</v>
      </c>
      <c r="F31" s="7" t="s">
        <v>155</v>
      </c>
      <c r="G31" s="8" t="s">
        <v>192</v>
      </c>
      <c r="H31" s="7" t="s">
        <v>235</v>
      </c>
      <c r="I31" s="8" t="s">
        <v>278</v>
      </c>
      <c r="J31" s="7">
        <v>1</v>
      </c>
      <c r="K31" s="7"/>
    </row>
    <row r="32" spans="1:11" ht="24.6" thickBot="1" x14ac:dyDescent="0.35">
      <c r="A32" s="1"/>
      <c r="B32" s="11">
        <f t="shared" si="0"/>
        <v>30</v>
      </c>
      <c r="C32" s="13" t="s">
        <v>12</v>
      </c>
      <c r="D32" s="9" t="s">
        <v>49</v>
      </c>
      <c r="E32" s="10" t="s">
        <v>111</v>
      </c>
      <c r="F32" s="9" t="s">
        <v>156</v>
      </c>
      <c r="G32" s="10" t="s">
        <v>193</v>
      </c>
      <c r="H32" s="9" t="s">
        <v>236</v>
      </c>
      <c r="I32" s="10" t="s">
        <v>278</v>
      </c>
      <c r="J32" s="9">
        <v>1</v>
      </c>
      <c r="K32" s="9"/>
    </row>
    <row r="33" spans="1:11" ht="15" thickBot="1" x14ac:dyDescent="0.35">
      <c r="A33" s="1"/>
      <c r="B33" s="11">
        <f>ROW(B33) - ROW($B$2)</f>
        <v>31</v>
      </c>
      <c r="C33" s="12" t="s">
        <v>12</v>
      </c>
      <c r="D33" s="7" t="s">
        <v>50</v>
      </c>
      <c r="E33" s="8" t="s">
        <v>112</v>
      </c>
      <c r="F33" s="7" t="s">
        <v>157</v>
      </c>
      <c r="G33" s="8" t="s">
        <v>194</v>
      </c>
      <c r="H33" s="7" t="s">
        <v>235</v>
      </c>
      <c r="I33" s="8" t="s">
        <v>278</v>
      </c>
      <c r="J33" s="7">
        <v>1</v>
      </c>
      <c r="K33" s="7"/>
    </row>
    <row r="34" spans="1:11" ht="15" thickBot="1" x14ac:dyDescent="0.35">
      <c r="A34" s="1"/>
      <c r="B34" s="11">
        <f t="shared" si="0"/>
        <v>32</v>
      </c>
      <c r="C34" s="13" t="s">
        <v>13</v>
      </c>
      <c r="D34" s="9" t="s">
        <v>51</v>
      </c>
      <c r="E34" s="10" t="s">
        <v>113</v>
      </c>
      <c r="F34" s="9" t="s">
        <v>158</v>
      </c>
      <c r="G34" s="10" t="s">
        <v>195</v>
      </c>
      <c r="H34" s="9" t="s">
        <v>222</v>
      </c>
      <c r="I34" s="10" t="s">
        <v>260</v>
      </c>
      <c r="J34" s="9">
        <v>1</v>
      </c>
      <c r="K34" s="9"/>
    </row>
    <row r="35" spans="1:11" ht="15" thickBot="1" x14ac:dyDescent="0.35">
      <c r="A35" s="1"/>
      <c r="B35" s="11">
        <v>33</v>
      </c>
      <c r="C35" s="13" t="s">
        <v>13</v>
      </c>
      <c r="D35" s="7" t="s">
        <v>291</v>
      </c>
      <c r="E35" s="8" t="s">
        <v>114</v>
      </c>
      <c r="F35" s="7" t="s">
        <v>159</v>
      </c>
      <c r="G35" s="8" t="s">
        <v>196</v>
      </c>
      <c r="H35" s="7" t="s">
        <v>222</v>
      </c>
      <c r="I35" s="8" t="s">
        <v>265</v>
      </c>
      <c r="J35" s="7">
        <v>1</v>
      </c>
      <c r="K35" s="7"/>
    </row>
    <row r="36" spans="1:11" ht="15" thickBot="1" x14ac:dyDescent="0.35">
      <c r="A36" s="1"/>
      <c r="B36" s="11">
        <f>ROW(B36) - ROW($B$2)</f>
        <v>34</v>
      </c>
      <c r="C36" s="12" t="s">
        <v>13</v>
      </c>
      <c r="D36" s="15" t="s">
        <v>292</v>
      </c>
      <c r="E36" s="14" t="s">
        <v>114</v>
      </c>
      <c r="F36" s="15" t="s">
        <v>159</v>
      </c>
      <c r="G36" s="14" t="s">
        <v>196</v>
      </c>
      <c r="H36" s="15" t="s">
        <v>222</v>
      </c>
      <c r="I36" s="14" t="s">
        <v>261</v>
      </c>
      <c r="J36" s="15">
        <v>5</v>
      </c>
      <c r="K36" s="15" t="s">
        <v>279</v>
      </c>
    </row>
    <row r="37" spans="1:11" ht="15" thickBot="1" x14ac:dyDescent="0.35">
      <c r="A37" s="1"/>
      <c r="B37" s="11">
        <f t="shared" si="0"/>
        <v>35</v>
      </c>
      <c r="C37" s="13" t="s">
        <v>13</v>
      </c>
      <c r="D37" s="9" t="s">
        <v>52</v>
      </c>
      <c r="E37" s="10" t="s">
        <v>115</v>
      </c>
      <c r="F37" s="9" t="s">
        <v>158</v>
      </c>
      <c r="G37" s="10" t="s">
        <v>197</v>
      </c>
      <c r="H37" s="9" t="s">
        <v>222</v>
      </c>
      <c r="I37" s="10" t="s">
        <v>262</v>
      </c>
      <c r="J37" s="9">
        <v>2</v>
      </c>
      <c r="K37" s="9"/>
    </row>
    <row r="38" spans="1:11" ht="15" thickBot="1" x14ac:dyDescent="0.35">
      <c r="A38" s="1"/>
      <c r="B38" s="11">
        <f>ROW(B38) - ROW($B$2)</f>
        <v>36</v>
      </c>
      <c r="C38" s="12" t="s">
        <v>13</v>
      </c>
      <c r="D38" s="15" t="s">
        <v>53</v>
      </c>
      <c r="E38" s="14" t="s">
        <v>116</v>
      </c>
      <c r="F38" s="15" t="s">
        <v>158</v>
      </c>
      <c r="G38" s="14" t="s">
        <v>198</v>
      </c>
      <c r="H38" s="15" t="s">
        <v>222</v>
      </c>
      <c r="I38" s="14" t="s">
        <v>261</v>
      </c>
      <c r="J38" s="15">
        <v>2</v>
      </c>
      <c r="K38" s="15" t="s">
        <v>279</v>
      </c>
    </row>
    <row r="39" spans="1:11" ht="15" thickBot="1" x14ac:dyDescent="0.35">
      <c r="A39" s="1"/>
      <c r="B39" s="11">
        <f t="shared" si="0"/>
        <v>37</v>
      </c>
      <c r="C39" s="13" t="s">
        <v>13</v>
      </c>
      <c r="D39" s="9" t="s">
        <v>54</v>
      </c>
      <c r="E39" s="10" t="s">
        <v>117</v>
      </c>
      <c r="F39" s="9" t="s">
        <v>158</v>
      </c>
      <c r="G39" s="10" t="s">
        <v>199</v>
      </c>
      <c r="H39" s="9" t="s">
        <v>222</v>
      </c>
      <c r="I39" s="10" t="s">
        <v>263</v>
      </c>
      <c r="J39" s="9">
        <v>1</v>
      </c>
      <c r="K39" s="9"/>
    </row>
    <row r="40" spans="1:11" ht="15" thickBot="1" x14ac:dyDescent="0.35">
      <c r="A40" s="1"/>
      <c r="B40" s="11">
        <f>ROW(B40) - ROW($B$2)</f>
        <v>38</v>
      </c>
      <c r="C40" s="12" t="s">
        <v>13</v>
      </c>
      <c r="D40" s="7" t="s">
        <v>55</v>
      </c>
      <c r="E40" s="8" t="s">
        <v>118</v>
      </c>
      <c r="F40" s="7" t="s">
        <v>160</v>
      </c>
      <c r="G40" s="8" t="s">
        <v>200</v>
      </c>
      <c r="H40" s="7" t="s">
        <v>222</v>
      </c>
      <c r="I40" s="8" t="s">
        <v>264</v>
      </c>
      <c r="J40" s="7">
        <v>4</v>
      </c>
      <c r="K40" s="7"/>
    </row>
    <row r="41" spans="1:11" ht="15" thickBot="1" x14ac:dyDescent="0.35">
      <c r="A41" s="1"/>
      <c r="B41" s="11">
        <f t="shared" si="0"/>
        <v>39</v>
      </c>
      <c r="C41" s="13" t="s">
        <v>14</v>
      </c>
      <c r="D41" s="16" t="s">
        <v>56</v>
      </c>
      <c r="E41" s="17" t="s">
        <v>119</v>
      </c>
      <c r="F41" s="16" t="s">
        <v>161</v>
      </c>
      <c r="G41" s="17" t="s">
        <v>201</v>
      </c>
      <c r="H41" s="16" t="s">
        <v>222</v>
      </c>
      <c r="I41" s="17" t="s">
        <v>261</v>
      </c>
      <c r="J41" s="16">
        <v>1</v>
      </c>
      <c r="K41" s="15" t="s">
        <v>279</v>
      </c>
    </row>
    <row r="42" spans="1:11" ht="15" thickBot="1" x14ac:dyDescent="0.35">
      <c r="A42" s="1"/>
      <c r="B42" s="11">
        <f>ROW(B42) - ROW($B$2)</f>
        <v>40</v>
      </c>
      <c r="C42" s="12" t="s">
        <v>13</v>
      </c>
      <c r="D42" s="7" t="s">
        <v>57</v>
      </c>
      <c r="E42" s="8" t="s">
        <v>114</v>
      </c>
      <c r="F42" s="7" t="s">
        <v>159</v>
      </c>
      <c r="G42" s="8" t="s">
        <v>196</v>
      </c>
      <c r="H42" s="7" t="s">
        <v>222</v>
      </c>
      <c r="I42" s="8" t="s">
        <v>265</v>
      </c>
      <c r="J42" s="7">
        <v>4</v>
      </c>
      <c r="K42" s="7"/>
    </row>
    <row r="43" spans="1:11" ht="15" thickBot="1" x14ac:dyDescent="0.35">
      <c r="A43" s="1"/>
      <c r="B43" s="11">
        <f t="shared" si="0"/>
        <v>41</v>
      </c>
      <c r="C43" s="13" t="s">
        <v>13</v>
      </c>
      <c r="D43" s="9" t="s">
        <v>58</v>
      </c>
      <c r="E43" s="10" t="s">
        <v>120</v>
      </c>
      <c r="F43" s="9" t="s">
        <v>158</v>
      </c>
      <c r="G43" s="10" t="s">
        <v>202</v>
      </c>
      <c r="H43" s="9" t="s">
        <v>222</v>
      </c>
      <c r="I43" s="10" t="s">
        <v>264</v>
      </c>
      <c r="J43" s="9">
        <v>6</v>
      </c>
      <c r="K43" s="9"/>
    </row>
    <row r="44" spans="1:11" ht="15" thickBot="1" x14ac:dyDescent="0.35">
      <c r="A44" s="1"/>
      <c r="B44" s="11">
        <f>ROW(B44) - ROW($B$2)</f>
        <v>42</v>
      </c>
      <c r="C44" s="12" t="s">
        <v>13</v>
      </c>
      <c r="D44" s="7" t="s">
        <v>59</v>
      </c>
      <c r="E44" s="8" t="s">
        <v>121</v>
      </c>
      <c r="F44" s="7" t="s">
        <v>158</v>
      </c>
      <c r="G44" s="8" t="s">
        <v>203</v>
      </c>
      <c r="H44" s="7" t="s">
        <v>222</v>
      </c>
      <c r="I44" s="8" t="s">
        <v>266</v>
      </c>
      <c r="J44" s="7">
        <v>1</v>
      </c>
      <c r="K44" s="7"/>
    </row>
    <row r="45" spans="1:11" ht="15" thickBot="1" x14ac:dyDescent="0.35">
      <c r="A45" s="1"/>
      <c r="B45" s="11">
        <f t="shared" si="0"/>
        <v>43</v>
      </c>
      <c r="C45" s="13" t="s">
        <v>13</v>
      </c>
      <c r="D45" s="9" t="s">
        <v>60</v>
      </c>
      <c r="E45" s="10" t="s">
        <v>122</v>
      </c>
      <c r="F45" s="9" t="s">
        <v>160</v>
      </c>
      <c r="G45" s="10" t="s">
        <v>204</v>
      </c>
      <c r="H45" s="9" t="s">
        <v>222</v>
      </c>
      <c r="I45" s="10" t="s">
        <v>267</v>
      </c>
      <c r="J45" s="9">
        <v>4</v>
      </c>
      <c r="K45" s="9"/>
    </row>
    <row r="46" spans="1:11" ht="15" thickBot="1" x14ac:dyDescent="0.35">
      <c r="A46" s="1"/>
      <c r="B46" s="11">
        <f>ROW(B46) - ROW($B$2)</f>
        <v>44</v>
      </c>
      <c r="C46" s="12" t="s">
        <v>13</v>
      </c>
      <c r="D46" s="15" t="s">
        <v>61</v>
      </c>
      <c r="E46" s="14" t="s">
        <v>123</v>
      </c>
      <c r="F46" s="15" t="s">
        <v>160</v>
      </c>
      <c r="G46" s="14" t="s">
        <v>205</v>
      </c>
      <c r="H46" s="15" t="s">
        <v>222</v>
      </c>
      <c r="I46" s="14" t="s">
        <v>261</v>
      </c>
      <c r="J46" s="15">
        <v>1</v>
      </c>
      <c r="K46" s="15" t="s">
        <v>279</v>
      </c>
    </row>
    <row r="47" spans="1:11" ht="15" thickBot="1" x14ac:dyDescent="0.35">
      <c r="A47" s="1"/>
      <c r="B47" s="11">
        <f t="shared" si="0"/>
        <v>45</v>
      </c>
      <c r="C47" s="13" t="s">
        <v>13</v>
      </c>
      <c r="D47" s="9" t="s">
        <v>62</v>
      </c>
      <c r="E47" s="10" t="s">
        <v>124</v>
      </c>
      <c r="F47" s="9" t="s">
        <v>161</v>
      </c>
      <c r="G47" s="10" t="s">
        <v>206</v>
      </c>
      <c r="H47" s="9" t="s">
        <v>237</v>
      </c>
      <c r="I47" s="10" t="s">
        <v>268</v>
      </c>
      <c r="J47" s="9">
        <v>2</v>
      </c>
      <c r="K47" s="9"/>
    </row>
    <row r="48" spans="1:11" ht="15" thickBot="1" x14ac:dyDescent="0.35">
      <c r="A48" s="1"/>
      <c r="B48" s="11">
        <f>ROW(B48) - ROW($B$2)</f>
        <v>46</v>
      </c>
      <c r="C48" s="12" t="s">
        <v>13</v>
      </c>
      <c r="D48" s="7" t="s">
        <v>63</v>
      </c>
      <c r="E48" s="8" t="s">
        <v>125</v>
      </c>
      <c r="F48" s="7" t="s">
        <v>158</v>
      </c>
      <c r="G48" s="8" t="s">
        <v>207</v>
      </c>
      <c r="H48" s="7" t="s">
        <v>222</v>
      </c>
      <c r="I48" s="8" t="s">
        <v>269</v>
      </c>
      <c r="J48" s="7">
        <v>1</v>
      </c>
      <c r="K48" s="7"/>
    </row>
    <row r="49" spans="1:11" ht="15" thickBot="1" x14ac:dyDescent="0.35">
      <c r="A49" s="1"/>
      <c r="B49" s="11">
        <f t="shared" si="0"/>
        <v>47</v>
      </c>
      <c r="C49" s="13" t="s">
        <v>13</v>
      </c>
      <c r="D49" s="9" t="s">
        <v>64</v>
      </c>
      <c r="E49" s="10" t="s">
        <v>126</v>
      </c>
      <c r="F49" s="9" t="s">
        <v>158</v>
      </c>
      <c r="G49" s="10" t="s">
        <v>208</v>
      </c>
      <c r="H49" s="9" t="s">
        <v>222</v>
      </c>
      <c r="I49" s="10" t="s">
        <v>270</v>
      </c>
      <c r="J49" s="9">
        <v>1</v>
      </c>
      <c r="K49" s="9"/>
    </row>
    <row r="50" spans="1:11" ht="15" thickBot="1" x14ac:dyDescent="0.35">
      <c r="A50" s="1"/>
      <c r="B50" s="11">
        <f>ROW(B50) - ROW($B$2)</f>
        <v>48</v>
      </c>
      <c r="C50" s="12" t="s">
        <v>13</v>
      </c>
      <c r="D50" s="7" t="s">
        <v>65</v>
      </c>
      <c r="E50" s="8" t="s">
        <v>127</v>
      </c>
      <c r="F50" s="7" t="s">
        <v>158</v>
      </c>
      <c r="G50" s="8" t="s">
        <v>209</v>
      </c>
      <c r="H50" s="7" t="s">
        <v>222</v>
      </c>
      <c r="I50" s="8" t="s">
        <v>271</v>
      </c>
      <c r="J50" s="7">
        <v>1</v>
      </c>
      <c r="K50" s="7"/>
    </row>
    <row r="51" spans="1:11" ht="15" thickBot="1" x14ac:dyDescent="0.35">
      <c r="A51" s="1"/>
      <c r="B51" s="11">
        <f t="shared" si="0"/>
        <v>49</v>
      </c>
      <c r="C51" s="13" t="s">
        <v>13</v>
      </c>
      <c r="D51" s="9" t="s">
        <v>66</v>
      </c>
      <c r="E51" s="10" t="s">
        <v>128</v>
      </c>
      <c r="F51" s="9" t="s">
        <v>160</v>
      </c>
      <c r="G51" s="10" t="s">
        <v>210</v>
      </c>
      <c r="H51" s="9" t="s">
        <v>222</v>
      </c>
      <c r="I51" s="10" t="s">
        <v>266</v>
      </c>
      <c r="J51" s="9">
        <v>4</v>
      </c>
      <c r="K51" s="9"/>
    </row>
    <row r="52" spans="1:11" ht="15" thickBot="1" x14ac:dyDescent="0.35">
      <c r="A52" s="1"/>
      <c r="B52" s="11">
        <f>ROW(B52) - ROW($B$2)</f>
        <v>50</v>
      </c>
      <c r="C52" s="12" t="s">
        <v>13</v>
      </c>
      <c r="D52" s="7" t="s">
        <v>67</v>
      </c>
      <c r="E52" s="8" t="s">
        <v>129</v>
      </c>
      <c r="F52" s="7" t="s">
        <v>160</v>
      </c>
      <c r="G52" s="8" t="s">
        <v>211</v>
      </c>
      <c r="H52" s="7" t="s">
        <v>222</v>
      </c>
      <c r="I52" s="8" t="s">
        <v>272</v>
      </c>
      <c r="J52" s="7">
        <v>1</v>
      </c>
      <c r="K52" s="7"/>
    </row>
    <row r="53" spans="1:11" ht="15" thickBot="1" x14ac:dyDescent="0.35">
      <c r="A53" s="1"/>
      <c r="B53" s="11">
        <f t="shared" si="0"/>
        <v>51</v>
      </c>
      <c r="C53" s="13" t="s">
        <v>13</v>
      </c>
      <c r="D53" s="9" t="s">
        <v>68</v>
      </c>
      <c r="E53" s="10" t="s">
        <v>130</v>
      </c>
      <c r="F53" s="9" t="s">
        <v>160</v>
      </c>
      <c r="G53" s="10" t="s">
        <v>212</v>
      </c>
      <c r="H53" s="9" t="s">
        <v>222</v>
      </c>
      <c r="I53" s="10" t="s">
        <v>273</v>
      </c>
      <c r="J53" s="9">
        <v>1</v>
      </c>
      <c r="K53" s="9"/>
    </row>
    <row r="54" spans="1:11" ht="15" thickBot="1" x14ac:dyDescent="0.35">
      <c r="A54" s="1"/>
      <c r="B54" s="11">
        <f>ROW(B54) - ROW($B$2)</f>
        <v>52</v>
      </c>
      <c r="C54" s="12" t="s">
        <v>14</v>
      </c>
      <c r="D54" s="7" t="s">
        <v>69</v>
      </c>
      <c r="E54" s="8" t="s">
        <v>131</v>
      </c>
      <c r="F54" s="7" t="s">
        <v>158</v>
      </c>
      <c r="G54" s="8" t="s">
        <v>213</v>
      </c>
      <c r="H54" s="7" t="s">
        <v>222</v>
      </c>
      <c r="I54" s="8" t="s">
        <v>274</v>
      </c>
      <c r="J54" s="7">
        <v>1</v>
      </c>
      <c r="K54" s="7"/>
    </row>
    <row r="55" spans="1:11" ht="15" thickBot="1" x14ac:dyDescent="0.35">
      <c r="A55" s="1"/>
      <c r="B55" s="11">
        <f t="shared" si="0"/>
        <v>53</v>
      </c>
      <c r="C55" s="13" t="s">
        <v>13</v>
      </c>
      <c r="D55" s="9" t="s">
        <v>70</v>
      </c>
      <c r="E55" s="10" t="s">
        <v>132</v>
      </c>
      <c r="F55" s="9" t="s">
        <v>158</v>
      </c>
      <c r="G55" s="10" t="s">
        <v>214</v>
      </c>
      <c r="H55" s="9" t="s">
        <v>222</v>
      </c>
      <c r="I55" s="10" t="s">
        <v>265</v>
      </c>
      <c r="J55" s="9">
        <v>1</v>
      </c>
      <c r="K55" s="9"/>
    </row>
    <row r="56" spans="1:11" ht="15" thickBot="1" x14ac:dyDescent="0.35">
      <c r="A56" s="1"/>
      <c r="B56" s="11">
        <f>ROW(B56) - ROW($B$2)</f>
        <v>54</v>
      </c>
      <c r="C56" s="12" t="s">
        <v>13</v>
      </c>
      <c r="D56" s="15" t="s">
        <v>71</v>
      </c>
      <c r="E56" s="14" t="s">
        <v>132</v>
      </c>
      <c r="F56" s="15" t="s">
        <v>158</v>
      </c>
      <c r="G56" s="14" t="s">
        <v>214</v>
      </c>
      <c r="H56" s="15" t="s">
        <v>222</v>
      </c>
      <c r="I56" s="14" t="s">
        <v>261</v>
      </c>
      <c r="J56" s="15">
        <v>1</v>
      </c>
      <c r="K56" s="15" t="s">
        <v>279</v>
      </c>
    </row>
    <row r="57" spans="1:11" ht="15" thickBot="1" x14ac:dyDescent="0.35">
      <c r="A57" s="1"/>
      <c r="B57" s="11">
        <f t="shared" si="0"/>
        <v>55</v>
      </c>
      <c r="C57" s="13" t="s">
        <v>14</v>
      </c>
      <c r="D57" s="9" t="s">
        <v>72</v>
      </c>
      <c r="E57" s="10" t="s">
        <v>119</v>
      </c>
      <c r="F57" s="9" t="s">
        <v>161</v>
      </c>
      <c r="G57" s="10" t="s">
        <v>201</v>
      </c>
      <c r="H57" s="9" t="s">
        <v>222</v>
      </c>
      <c r="I57" s="10" t="s">
        <v>265</v>
      </c>
      <c r="J57" s="9">
        <v>2</v>
      </c>
      <c r="K57" s="9"/>
    </row>
    <row r="58" spans="1:11" ht="24.6" thickBot="1" x14ac:dyDescent="0.35">
      <c r="A58" s="1"/>
      <c r="B58" s="11">
        <f>ROW(B58) - ROW($B$2)</f>
        <v>56</v>
      </c>
      <c r="C58" s="12" t="s">
        <v>15</v>
      </c>
      <c r="D58" s="7" t="s">
        <v>73</v>
      </c>
      <c r="E58" s="8" t="s">
        <v>133</v>
      </c>
      <c r="F58" s="7" t="s">
        <v>282</v>
      </c>
      <c r="G58" s="8" t="s">
        <v>162</v>
      </c>
      <c r="H58" s="7" t="s">
        <v>238</v>
      </c>
      <c r="I58" s="8" t="s">
        <v>278</v>
      </c>
      <c r="J58" s="7">
        <v>4</v>
      </c>
      <c r="K58" s="7"/>
    </row>
    <row r="59" spans="1:11" ht="48.6" thickBot="1" x14ac:dyDescent="0.35">
      <c r="A59" s="1"/>
      <c r="B59" s="11">
        <f t="shared" si="0"/>
        <v>57</v>
      </c>
      <c r="C59" s="13" t="s">
        <v>16</v>
      </c>
      <c r="D59" s="9" t="s">
        <v>74</v>
      </c>
      <c r="E59" s="10" t="s">
        <v>134</v>
      </c>
      <c r="F59" s="9" t="s">
        <v>282</v>
      </c>
      <c r="G59" s="10" t="s">
        <v>163</v>
      </c>
      <c r="H59" s="9" t="s">
        <v>239</v>
      </c>
      <c r="I59" s="10" t="s">
        <v>278</v>
      </c>
      <c r="J59" s="9">
        <v>1</v>
      </c>
      <c r="K59" s="9"/>
    </row>
    <row r="60" spans="1:11" ht="48.6" thickBot="1" x14ac:dyDescent="0.35">
      <c r="A60" s="1"/>
      <c r="B60" s="11">
        <f>ROW(B60) - ROW($B$2)</f>
        <v>58</v>
      </c>
      <c r="C60" s="12" t="s">
        <v>16</v>
      </c>
      <c r="D60" s="7" t="s">
        <v>75</v>
      </c>
      <c r="E60" s="8" t="s">
        <v>135</v>
      </c>
      <c r="F60" s="7" t="s">
        <v>282</v>
      </c>
      <c r="G60" s="8" t="s">
        <v>215</v>
      </c>
      <c r="H60" s="7" t="s">
        <v>239</v>
      </c>
      <c r="I60" s="8" t="s">
        <v>278</v>
      </c>
      <c r="J60" s="7">
        <v>1</v>
      </c>
      <c r="K60" s="7"/>
    </row>
    <row r="61" spans="1:11" ht="15" thickBot="1" x14ac:dyDescent="0.35">
      <c r="A61" s="1"/>
      <c r="B61" s="11">
        <f t="shared" si="0"/>
        <v>59</v>
      </c>
      <c r="C61" s="13" t="s">
        <v>17</v>
      </c>
      <c r="D61" s="9" t="s">
        <v>76</v>
      </c>
      <c r="E61" s="10" t="s">
        <v>136</v>
      </c>
      <c r="F61" s="9" t="s">
        <v>164</v>
      </c>
      <c r="G61" s="10" t="s">
        <v>216</v>
      </c>
      <c r="H61" s="9" t="s">
        <v>240</v>
      </c>
      <c r="I61" s="10" t="s">
        <v>278</v>
      </c>
      <c r="J61" s="9">
        <v>1</v>
      </c>
      <c r="K61" s="9"/>
    </row>
    <row r="62" spans="1:11" ht="24.6" thickBot="1" x14ac:dyDescent="0.35">
      <c r="A62" s="1"/>
      <c r="B62" s="11">
        <f>ROW(B62) - ROW($B$2)</f>
        <v>60</v>
      </c>
      <c r="C62" s="12" t="s">
        <v>17</v>
      </c>
      <c r="D62" s="7" t="s">
        <v>77</v>
      </c>
      <c r="E62" s="8" t="s">
        <v>137</v>
      </c>
      <c r="F62" s="7" t="s">
        <v>165</v>
      </c>
      <c r="G62" s="8" t="s">
        <v>217</v>
      </c>
      <c r="H62" s="7" t="s">
        <v>241</v>
      </c>
      <c r="I62" s="8" t="s">
        <v>278</v>
      </c>
      <c r="J62" s="7">
        <v>1</v>
      </c>
      <c r="K62" s="7"/>
    </row>
    <row r="63" spans="1:11" ht="15" thickBot="1" x14ac:dyDescent="0.35">
      <c r="A63" s="1"/>
      <c r="B63" s="11">
        <f t="shared" si="0"/>
        <v>61</v>
      </c>
      <c r="C63" s="13" t="s">
        <v>18</v>
      </c>
      <c r="D63" s="9" t="s">
        <v>78</v>
      </c>
      <c r="E63" s="10" t="s">
        <v>138</v>
      </c>
      <c r="F63" s="9" t="s">
        <v>166</v>
      </c>
      <c r="G63" s="10" t="s">
        <v>218</v>
      </c>
      <c r="H63" s="9" t="s">
        <v>242</v>
      </c>
      <c r="I63" s="10" t="s">
        <v>278</v>
      </c>
      <c r="J63" s="9">
        <v>1</v>
      </c>
      <c r="K63" s="9"/>
    </row>
    <row r="64" spans="1:11" ht="24.6" thickBot="1" x14ac:dyDescent="0.35">
      <c r="A64" s="1"/>
      <c r="B64" s="11">
        <f>ROW(B64) - ROW($B$2)</f>
        <v>62</v>
      </c>
      <c r="C64" s="12" t="s">
        <v>17</v>
      </c>
      <c r="D64" s="7" t="s">
        <v>79</v>
      </c>
      <c r="E64" s="8" t="s">
        <v>139</v>
      </c>
      <c r="F64" s="7" t="s">
        <v>167</v>
      </c>
      <c r="G64" s="8" t="s">
        <v>219</v>
      </c>
      <c r="H64" s="7" t="s">
        <v>243</v>
      </c>
      <c r="I64" s="8" t="s">
        <v>278</v>
      </c>
      <c r="J64" s="7">
        <v>1</v>
      </c>
      <c r="K64" s="7"/>
    </row>
    <row r="65" spans="1:11" x14ac:dyDescent="0.3">
      <c r="A65" s="1"/>
      <c r="B65" s="18">
        <f t="shared" si="0"/>
        <v>63</v>
      </c>
      <c r="C65" s="19" t="s">
        <v>17</v>
      </c>
      <c r="D65" s="20" t="s">
        <v>80</v>
      </c>
      <c r="E65" s="21" t="s">
        <v>140</v>
      </c>
      <c r="F65" s="20" t="s">
        <v>282</v>
      </c>
      <c r="G65" s="21" t="s">
        <v>220</v>
      </c>
      <c r="H65" s="20" t="s">
        <v>244</v>
      </c>
      <c r="I65" s="21" t="s">
        <v>278</v>
      </c>
      <c r="J65" s="20">
        <v>1</v>
      </c>
      <c r="K65" s="20"/>
    </row>
    <row r="66" spans="1:11" x14ac:dyDescent="0.3">
      <c r="A66" s="1"/>
      <c r="B66" s="22">
        <v>63</v>
      </c>
      <c r="C66" s="25" t="s">
        <v>283</v>
      </c>
      <c r="D66" s="9" t="s">
        <v>284</v>
      </c>
      <c r="E66" s="10" t="s">
        <v>285</v>
      </c>
      <c r="F66" s="9" t="s">
        <v>278</v>
      </c>
      <c r="G66" s="10" t="s">
        <v>287</v>
      </c>
      <c r="H66" s="26" t="s">
        <v>286</v>
      </c>
      <c r="I66" s="24" t="s">
        <v>278</v>
      </c>
      <c r="J66" s="24">
        <v>1</v>
      </c>
      <c r="K66" s="24"/>
    </row>
    <row r="67" spans="1:11" x14ac:dyDescent="0.3">
      <c r="A67" s="1"/>
      <c r="B67" s="22">
        <v>64</v>
      </c>
      <c r="C67" s="23" t="s">
        <v>288</v>
      </c>
      <c r="D67" s="9" t="s">
        <v>284</v>
      </c>
      <c r="E67" s="24" t="s">
        <v>290</v>
      </c>
      <c r="F67" s="24" t="s">
        <v>278</v>
      </c>
      <c r="G67" s="24" t="s">
        <v>278</v>
      </c>
      <c r="H67" s="24" t="s">
        <v>278</v>
      </c>
      <c r="I67" s="24" t="s">
        <v>278</v>
      </c>
      <c r="J67" s="24">
        <v>1</v>
      </c>
      <c r="K67" s="27" t="s">
        <v>289</v>
      </c>
    </row>
  </sheetData>
  <mergeCells count="1">
    <mergeCell ref="I1:K1"/>
  </mergeCells>
  <hyperlinks>
    <hyperlink ref="K67" r:id="rId1" display="https://vi.aliexpress.com/item/3256806982979252.html?spm=a2g0o.productlist.main.57.65b06abaeb2ob9&amp;algo_pvid=05a13276-66bd-4d5f-96fc-ad82052d912d&amp;algo_exp_id=05a13276-66bd-4d5f-96fc-ad82052d912d-28&amp;pdp_ext_f=%7B%22order%22%3A%2279%22%2C%22eval%22%3A%221%22%7D&amp;pdp_npi=4%40dis%21USD%211.52%210.99%21%21%211.52%210.99%21%402102f0c917415940874732422ecd01%2112000039683406669%21sea%21US%210%21ABX&amp;curPageLogUid=eJHE9Ksk84HQ&amp;utparam-url=scene%3Asearch%7Cquery_from%3A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Saad-AIK</cp:lastModifiedBy>
  <dcterms:created xsi:type="dcterms:W3CDTF">2019-12-12T10:34:26Z</dcterms:created>
  <dcterms:modified xsi:type="dcterms:W3CDTF">2025-05-23T20:48:18Z</dcterms:modified>
</cp:coreProperties>
</file>