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 activeTab="1"/>
  </bookViews>
  <sheets>
    <sheet name="2 Boards" sheetId="1" r:id="rId1"/>
    <sheet name="5 Boards" sheetId="2" r:id="rId2"/>
  </sheets>
  <calcPr calcId="162913"/>
</workbook>
</file>

<file path=xl/calcChain.xml><?xml version="1.0" encoding="utf-8"?>
<calcChain xmlns="http://schemas.openxmlformats.org/spreadsheetml/2006/main">
  <c r="K38" i="1" l="1"/>
  <c r="B38" i="1"/>
  <c r="K37" i="1"/>
  <c r="B37" i="1"/>
  <c r="K36" i="1"/>
  <c r="B36" i="1"/>
  <c r="K35" i="1"/>
  <c r="B35" i="1"/>
  <c r="K34" i="1"/>
  <c r="B34" i="1"/>
  <c r="K33" i="1"/>
  <c r="B33" i="1"/>
  <c r="K32" i="1"/>
  <c r="B32" i="1"/>
  <c r="K31" i="1"/>
  <c r="B31" i="1"/>
  <c r="K30" i="1"/>
  <c r="B30" i="1"/>
  <c r="K29" i="1"/>
  <c r="B29" i="1"/>
  <c r="K28" i="1"/>
  <c r="B28" i="1"/>
  <c r="K27" i="1"/>
  <c r="B27" i="1"/>
  <c r="K26" i="1"/>
  <c r="B26" i="1"/>
  <c r="K25" i="1"/>
  <c r="B25" i="1"/>
  <c r="K24" i="1"/>
  <c r="B24" i="1"/>
  <c r="K23" i="1"/>
  <c r="B23" i="1"/>
  <c r="K22" i="1"/>
  <c r="B22" i="1"/>
  <c r="K21" i="1"/>
  <c r="B21" i="1"/>
  <c r="K20" i="1"/>
  <c r="B20" i="1"/>
  <c r="K19" i="1"/>
  <c r="B19" i="1"/>
  <c r="K18" i="1"/>
  <c r="B18" i="1"/>
  <c r="K17" i="1"/>
  <c r="B17" i="1"/>
  <c r="K16" i="1"/>
  <c r="B16" i="1"/>
  <c r="K15" i="1"/>
  <c r="B15" i="1"/>
  <c r="K14" i="1"/>
  <c r="B14" i="1"/>
  <c r="K13" i="1"/>
  <c r="B13" i="1"/>
  <c r="K12" i="1"/>
  <c r="B12" i="1"/>
  <c r="K11" i="1"/>
  <c r="B11" i="1"/>
  <c r="K10" i="1"/>
  <c r="B10" i="1"/>
  <c r="K38" i="2" l="1"/>
  <c r="B38" i="2"/>
  <c r="K37" i="2"/>
  <c r="B37" i="2"/>
  <c r="K36" i="2"/>
  <c r="B36" i="2"/>
  <c r="K35" i="2"/>
  <c r="B35" i="2"/>
  <c r="K34" i="2"/>
  <c r="B34" i="2"/>
  <c r="K33" i="2"/>
  <c r="B33" i="2"/>
  <c r="K32" i="2"/>
  <c r="B32" i="2"/>
  <c r="K31" i="2"/>
  <c r="B31" i="2"/>
  <c r="K30" i="2"/>
  <c r="B30" i="2"/>
  <c r="K29" i="2"/>
  <c r="B29" i="2"/>
  <c r="K28" i="2"/>
  <c r="B28" i="2"/>
  <c r="K27" i="2"/>
  <c r="B27" i="2"/>
  <c r="K26" i="2"/>
  <c r="B26" i="2"/>
  <c r="K25" i="2"/>
  <c r="B25" i="2"/>
  <c r="K24" i="2"/>
  <c r="B24" i="2"/>
  <c r="K23" i="2"/>
  <c r="B23" i="2"/>
  <c r="K22" i="2"/>
  <c r="B22" i="2"/>
  <c r="K21" i="2"/>
  <c r="B21" i="2"/>
  <c r="K20" i="2"/>
  <c r="B20" i="2"/>
  <c r="K19" i="2"/>
  <c r="B19" i="2"/>
  <c r="K18" i="2"/>
  <c r="B18" i="2"/>
  <c r="K17" i="2"/>
  <c r="B17" i="2"/>
  <c r="K16" i="2"/>
  <c r="B16" i="2"/>
  <c r="K15" i="2"/>
  <c r="B15" i="2"/>
  <c r="K14" i="2"/>
  <c r="B14" i="2"/>
  <c r="K13" i="2"/>
  <c r="B13" i="2"/>
  <c r="K10" i="2"/>
  <c r="B10" i="2"/>
  <c r="K12" i="2"/>
  <c r="B12" i="2"/>
  <c r="K11" i="2"/>
  <c r="B11" i="2"/>
</calcChain>
</file>

<file path=xl/sharedStrings.xml><?xml version="1.0" encoding="utf-8"?>
<sst xmlns="http://schemas.openxmlformats.org/spreadsheetml/2006/main" count="444" uniqueCount="156">
  <si>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</si>
  <si>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</si>
  <si>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</si>
  <si>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</si>
  <si>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</si>
  <si>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</si>
  <si>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</si>
  <si>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</si>
  <si>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</si>
  <si>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</si>
  <si>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</si>
  <si>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JST Connector</t>
  </si>
  <si>
    <t>Connector</t>
  </si>
  <si>
    <t>LED</t>
  </si>
  <si>
    <t>Mosfet</t>
  </si>
  <si>
    <t>Resistor</t>
  </si>
  <si>
    <t>IC</t>
  </si>
  <si>
    <t>Module</t>
  </si>
  <si>
    <t>Designator</t>
  </si>
  <si>
    <t>D1</t>
  </si>
  <si>
    <t>F1</t>
  </si>
  <si>
    <t>FB1</t>
  </si>
  <si>
    <t>J1</t>
  </si>
  <si>
    <t>J3</t>
  </si>
  <si>
    <t>LED1</t>
  </si>
  <si>
    <t>LED2</t>
  </si>
  <si>
    <t>LED3</t>
  </si>
  <si>
    <t>R2</t>
  </si>
  <si>
    <t>R9</t>
  </si>
  <si>
    <t>SW1</t>
  </si>
  <si>
    <t>U1</t>
  </si>
  <si>
    <t>U3</t>
  </si>
  <si>
    <t>U6</t>
  </si>
  <si>
    <t>Description</t>
  </si>
  <si>
    <t>CAP CER 1UF 25V X5R 0603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</si>
  <si>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</si>
  <si>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</si>
  <si>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</si>
  <si>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</si>
  <si>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1x2P 1 1.25mm Male pin 2 -40℃~+85℃ Surface Mount SMD,P=1.25mm Wire To Board / Wire To Wire Connector ROHS</t>
  </si>
  <si>
    <t>1x6P SH 1 1mm 6 SMD,P=1mm Wire To Board / Wire To Wire Connector ROHS</t>
  </si>
  <si>
    <t>Emerald 0603 Light Emitting Diodes (LED) ROHS</t>
  </si>
  <si>
    <t>0603 Light Emitting Diodes (LED) ROHS</t>
  </si>
  <si>
    <t>White light 0603 Light Emitting Diodes (LED) ROHS</t>
  </si>
  <si>
    <t>RES SMD 220 OHM 1% 1/10W 0603</t>
  </si>
  <si>
    <t>RES  SMD 330R 100 mW 0603</t>
  </si>
  <si>
    <t>RES SMD 10K Ohm 1% 1/10W 0603</t>
  </si>
  <si>
    <t>RES SMD 51R 100mW 0603</t>
  </si>
  <si>
    <t>ESOP-8 Battery Management ICs ROHS</t>
  </si>
  <si>
    <t>500-MA, LOW-NOISE, LOW-IQ, HIGH</t>
  </si>
  <si>
    <t>SMD MODULE W/PCB ANT ESP-U4WDH</t>
  </si>
  <si>
    <t>Footprint</t>
  </si>
  <si>
    <t>Cap-0603</t>
  </si>
  <si>
    <t>DSN0603-2</t>
  </si>
  <si>
    <t>Fuse-0805</t>
  </si>
  <si>
    <t>IND-0603 (1608 Metric)</t>
  </si>
  <si>
    <t>1.25-2PWB</t>
  </si>
  <si>
    <t>LED-0603</t>
  </si>
  <si>
    <t>SOT-23</t>
  </si>
  <si>
    <t>Res-0603</t>
  </si>
  <si>
    <t>ESOP-8</t>
  </si>
  <si>
    <t>4-WCSP (0.63x0.63)</t>
  </si>
  <si>
    <t>ESP32-MINI-1-N4</t>
  </si>
  <si>
    <t>Manufacturer Part Number</t>
  </si>
  <si>
    <t>CC0603KRX5R8BB105</t>
  </si>
  <si>
    <t>CC0603KRX5R7BB106</t>
  </si>
  <si>
    <t>PESD5V0H1BSFYL</t>
  </si>
  <si>
    <t>BSMD0805L-200</t>
  </si>
  <si>
    <t>BLM18SG121TN1D</t>
  </si>
  <si>
    <t>C145963</t>
  </si>
  <si>
    <t>NCD0603G2</t>
  </si>
  <si>
    <t>NCD0603R3</t>
  </si>
  <si>
    <t>NCD0603W3</t>
  </si>
  <si>
    <t>RC0603FR-07220RL</t>
  </si>
  <si>
    <t>RC0603JR-07330RL</t>
  </si>
  <si>
    <t>RC0603FR-0710KL</t>
  </si>
  <si>
    <t>RC0603FR-0751RL</t>
  </si>
  <si>
    <t>TP4056-42-ESOP8</t>
  </si>
  <si>
    <t>TPS7A2133PYWDJ</t>
  </si>
  <si>
    <t>Manufacturer</t>
  </si>
  <si>
    <t>Yageo</t>
  </si>
  <si>
    <t>Nexperia</t>
  </si>
  <si>
    <t>BHFUSE</t>
  </si>
  <si>
    <t>Murata</t>
  </si>
  <si>
    <t>DEALON</t>
  </si>
  <si>
    <t>BOOMELE</t>
  </si>
  <si>
    <t>Foshan NationStar Optoelectronics</t>
  </si>
  <si>
    <t>G-Switch</t>
  </si>
  <si>
    <t>XKB Connectivity</t>
  </si>
  <si>
    <t>TOPPOWER</t>
  </si>
  <si>
    <t>Texas Instruments</t>
  </si>
  <si>
    <t>Espressif Systems</t>
  </si>
  <si>
    <t>1uF</t>
  </si>
  <si>
    <t>100nF</t>
  </si>
  <si>
    <t>10uF</t>
  </si>
  <si>
    <t>220R</t>
  </si>
  <si>
    <t>330R</t>
  </si>
  <si>
    <t>10K</t>
  </si>
  <si>
    <t>51R</t>
  </si>
  <si>
    <t>Quantity</t>
  </si>
  <si>
    <t>-</t>
  </si>
  <si>
    <t>Quantity (5 Boards)</t>
  </si>
  <si>
    <t>Quantity (2 Boards)</t>
  </si>
  <si>
    <t>Remarks</t>
  </si>
  <si>
    <t>Bill of Materials for Project [IoT-Button]</t>
  </si>
  <si>
    <t>IoT-Button</t>
  </si>
  <si>
    <t>Value</t>
  </si>
  <si>
    <t>Peripheral</t>
  </si>
  <si>
    <t>Battery</t>
  </si>
  <si>
    <t>104050 3.7V 2600mAh Li-polymer Battery For GPS MP3 Bluetooth Headset Power Bank Rechargeable Lithium Batteria</t>
  </si>
  <si>
    <t>Adaptor</t>
  </si>
  <si>
    <t>5V2A New AC 100V-240V Converter Adapter DC 5V 2A 2000mA Power Supply EU Plug DC 5.5mm x 2.1mm</t>
  </si>
  <si>
    <t>CAP CER 0.1UF 25V X5R 0402</t>
  </si>
  <si>
    <t>Cap-0402</t>
  </si>
  <si>
    <t>CC0402KRX5R8BB104</t>
  </si>
  <si>
    <t>C3, C4, C7, C13, C19, C27</t>
  </si>
  <si>
    <t>C6, C9</t>
  </si>
  <si>
    <t>D3</t>
  </si>
  <si>
    <t>DIODE SCHOTTKY 20V 1A SOD123FL</t>
  </si>
  <si>
    <t>SOD-123</t>
  </si>
  <si>
    <t>MBR120VLSFT3G</t>
  </si>
  <si>
    <t>ON Semiconductor</t>
  </si>
  <si>
    <t>DC Power Jack</t>
  </si>
  <si>
    <t>Panel Mounting DC Power Receptacle 260℃ Brass -20℃~+70℃ 2mm 6mm 2.5A 24V SMD AC/DC Power Connectors ROHS</t>
  </si>
  <si>
    <t>DC-044D-2.5A-2.0-SMT</t>
  </si>
  <si>
    <t>J2</t>
  </si>
  <si>
    <t>RGB LED</t>
  </si>
  <si>
    <t>LED4, LED5, LED6, LED7, LED8, LED9</t>
  </si>
  <si>
    <t>SMD5050 Light Emitting Diodes (LED) ROHS</t>
  </si>
  <si>
    <t>WS2812B-XF02/W</t>
  </si>
  <si>
    <t>Worldsemi</t>
  </si>
  <si>
    <t>Trans Mosfet P-ch 30V 4A 3-PIN SOT-23 T/r</t>
  </si>
  <si>
    <t>AO3401A</t>
  </si>
  <si>
    <t>Alpha &amp; Omega Semiconductor</t>
  </si>
  <si>
    <t>R1, R4, R6, R8, R10</t>
  </si>
  <si>
    <t>RES 100K OHM 5% 1/10W 0603</t>
  </si>
  <si>
    <t>RC0603JR-07100KL</t>
  </si>
  <si>
    <t>R7</t>
  </si>
  <si>
    <t>R11</t>
  </si>
  <si>
    <t>TE Connectivity</t>
  </si>
  <si>
    <t>Tactile Switch</t>
  </si>
  <si>
    <t>50mA Lying SPST 24V Plugin Tactile Switches ROHS</t>
  </si>
  <si>
    <t>1825027-8</t>
  </si>
  <si>
    <t>SW2, SW5</t>
  </si>
  <si>
    <t>50mA Brick nogging SPST 100MΩ 1000000 times 250gf@±30gf 12V SMD Tactile Switches ROHS</t>
  </si>
  <si>
    <t>K2-6639SP-C4SC-04</t>
  </si>
  <si>
    <t>Korean Hroparts Elec</t>
  </si>
  <si>
    <t>SW3</t>
  </si>
  <si>
    <t>No NO 50mA 100MΩ 100000 Times 12V 130gf@±30gf Brick nogging SPST SMD Tactile Switches ROHS</t>
  </si>
  <si>
    <t>GT-TC074E-H080-L1</t>
  </si>
  <si>
    <t>100K</t>
  </si>
  <si>
    <t>DNP</t>
  </si>
  <si>
    <t>Voltlink Target</t>
  </si>
  <si>
    <t>Q2</t>
  </si>
  <si>
    <t>C1, C2, C5, C8, C10, C11, C12, C14, C15, C16, C17, C18, C20, C25, C26</t>
  </si>
  <si>
    <t>R3, R5, R12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</si>
</sst>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7" fillId="3" borderId="0" xfId="0" applyFont="1" applyFill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0" xfId="0" applyFont="1" applyFill="1"/>
    <xf numFmtId="0" fontId="13" fillId="3" borderId="9" xfId="0" applyFont="1" applyFill="1" applyBorder="1" applyAlignment="1">
      <alignment vertical="center"/>
    </xf>
    <xf numFmtId="0" fontId="14" fillId="3" borderId="10" xfId="0" applyFont="1" applyFill="1" applyBorder="1" applyAlignment="1">
      <alignment vertical="center"/>
    </xf>
    <xf numFmtId="0" fontId="10" fillId="3" borderId="0" xfId="0" applyFont="1" applyFill="1"/>
    <xf numFmtId="0" fontId="12" fillId="3" borderId="5" xfId="0" applyFont="1" applyFill="1" applyBorder="1"/>
    <xf numFmtId="0" fontId="12" fillId="3" borderId="4" xfId="0" applyFont="1" applyFill="1" applyBorder="1"/>
    <xf numFmtId="0" fontId="10" fillId="3" borderId="4" xfId="0" applyFont="1" applyFill="1" applyBorder="1"/>
    <xf numFmtId="0" fontId="12" fillId="3" borderId="4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2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4" fillId="3" borderId="10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0" fillId="4" borderId="13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9" fillId="2" borderId="14" xfId="0" applyFont="1" applyFill="1" applyBorder="1" applyAlignment="1">
      <alignment horizontal="center" vertical="center" wrapText="1"/>
    </xf>
    <xf numFmtId="0" fontId="19" fillId="2" borderId="13" xfId="0" applyFont="1" applyFill="1" applyBorder="1" applyAlignment="1">
      <alignment horizontal="center" vertical="center" wrapText="1"/>
    </xf>
    <xf numFmtId="0" fontId="12" fillId="3" borderId="15" xfId="0" applyFont="1" applyFill="1" applyBorder="1" applyAlignment="1" applyProtection="1">
      <alignment horizontal="center" vertical="top"/>
      <protection locked="0"/>
    </xf>
    <xf numFmtId="0" fontId="12" fillId="3" borderId="16" xfId="0" applyFont="1" applyFill="1" applyBorder="1" applyAlignment="1" applyProtection="1">
      <alignment horizontal="center" vertical="top"/>
      <protection locked="0"/>
    </xf>
    <xf numFmtId="0" fontId="10" fillId="3" borderId="16" xfId="0" applyFont="1" applyFill="1" applyBorder="1" applyAlignment="1" applyProtection="1">
      <alignment horizontal="left" vertical="top"/>
      <protection locked="0"/>
    </xf>
    <xf numFmtId="0" fontId="11" fillId="3" borderId="16" xfId="0" applyFont="1" applyFill="1" applyBorder="1" applyAlignment="1" applyProtection="1">
      <alignment horizontal="left" vertical="top"/>
      <protection locked="0"/>
    </xf>
    <xf numFmtId="0" fontId="16" fillId="4" borderId="10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 applyProtection="1">
      <alignment horizontal="center" vertical="center"/>
      <protection locked="0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9" xfId="0" applyFont="1" applyFill="1" applyBorder="1" applyAlignment="1" applyProtection="1">
      <alignment vertical="center"/>
      <protection locked="0"/>
    </xf>
    <xf numFmtId="0" fontId="11" fillId="3" borderId="9" xfId="0" applyFont="1" applyFill="1" applyBorder="1" applyAlignment="1" applyProtection="1">
      <alignment horizontal="left" vertical="center"/>
      <protection locked="0"/>
    </xf>
    <xf numFmtId="0" fontId="0" fillId="3" borderId="9" xfId="0" applyFill="1" applyBorder="1" applyAlignment="1">
      <alignment vertical="center"/>
    </xf>
    <xf numFmtId="0" fontId="0" fillId="3" borderId="9" xfId="0" applyFill="1" applyBorder="1"/>
    <xf numFmtId="0" fontId="0" fillId="3" borderId="7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34440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12</xdr:col>
      <xdr:colOff>0</xdr:colOff>
      <xdr:row>7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71600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40"/>
  <sheetViews>
    <sheetView workbookViewId="0">
      <selection activeCell="G15" sqref="G15"/>
    </sheetView>
  </sheetViews>
  <sheetFormatPr defaultRowHeight="15" x14ac:dyDescent="0.25"/>
  <cols>
    <col min="2" max="2" width="3.140625" style="22" customWidth="1"/>
    <col min="3" max="3" width="18.7109375" style="22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8.7109375" bestFit="1" customWidth="1"/>
    <col min="9" max="9" width="6.140625" bestFit="1" customWidth="1"/>
    <col min="10" max="10" width="18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60"/>
      <c r="J1" s="60"/>
      <c r="K1" s="60"/>
      <c r="L1" s="60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104</v>
      </c>
      <c r="G2" s="9"/>
      <c r="H2" s="3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105</v>
      </c>
      <c r="G3" s="10"/>
      <c r="H3" s="4"/>
      <c r="I3" s="4"/>
      <c r="J3" s="4"/>
      <c r="K3" s="4"/>
      <c r="L3" s="61"/>
    </row>
    <row r="4" spans="1:12" x14ac:dyDescent="0.25">
      <c r="A4" s="1"/>
      <c r="B4" s="19"/>
      <c r="C4" s="31"/>
      <c r="D4" s="10" t="s">
        <v>2</v>
      </c>
      <c r="E4" s="10"/>
      <c r="F4" s="37" t="s">
        <v>105</v>
      </c>
      <c r="G4" s="11"/>
      <c r="H4" s="6"/>
      <c r="I4" s="6"/>
      <c r="J4" s="6"/>
      <c r="K4" s="6"/>
      <c r="L4" s="62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5"/>
      <c r="I5" s="5"/>
      <c r="J5" s="5"/>
      <c r="K5" s="5"/>
      <c r="L5" s="62"/>
    </row>
    <row r="6" spans="1:12" x14ac:dyDescent="0.25">
      <c r="A6" s="1"/>
      <c r="B6" s="20"/>
      <c r="C6" s="32"/>
      <c r="D6" s="13"/>
      <c r="E6" s="13"/>
      <c r="F6" s="14"/>
      <c r="G6" s="12"/>
      <c r="H6" s="5"/>
      <c r="I6" s="5"/>
      <c r="J6" s="5"/>
      <c r="K6" s="5"/>
      <c r="L6" s="62"/>
    </row>
    <row r="7" spans="1:12" x14ac:dyDescent="0.25">
      <c r="A7" s="1"/>
      <c r="B7" s="21"/>
      <c r="C7" s="33"/>
      <c r="D7" s="15"/>
      <c r="E7" s="15"/>
      <c r="F7" s="16"/>
      <c r="G7" s="15"/>
      <c r="H7" s="7"/>
      <c r="I7" s="7"/>
      <c r="J7" s="7"/>
      <c r="K7" s="7"/>
      <c r="L7" s="62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7"/>
      <c r="I8" s="7"/>
      <c r="J8" s="7"/>
      <c r="K8" s="7"/>
      <c r="L8" s="62"/>
    </row>
    <row r="9" spans="1:12" ht="15.75" thickBot="1" x14ac:dyDescent="0.3">
      <c r="A9" s="1"/>
      <c r="B9" s="26" t="s">
        <v>4</v>
      </c>
      <c r="C9" s="26" t="s">
        <v>6</v>
      </c>
      <c r="D9" s="26" t="s">
        <v>18</v>
      </c>
      <c r="E9" s="48" t="s">
        <v>33</v>
      </c>
      <c r="F9" s="26" t="s">
        <v>51</v>
      </c>
      <c r="G9" s="48" t="s">
        <v>63</v>
      </c>
      <c r="H9" s="26" t="s">
        <v>79</v>
      </c>
      <c r="I9" s="48" t="s">
        <v>106</v>
      </c>
      <c r="J9" s="26" t="s">
        <v>99</v>
      </c>
      <c r="K9" s="26" t="s">
        <v>102</v>
      </c>
      <c r="L9" s="26" t="s">
        <v>103</v>
      </c>
    </row>
    <row r="10" spans="1:12" ht="24.75" thickBot="1" x14ac:dyDescent="0.3">
      <c r="A10" s="1"/>
      <c r="B10" s="49">
        <f>ROW(B10) - ROW($B$9)</f>
        <v>1</v>
      </c>
      <c r="C10" s="40" t="s">
        <v>7</v>
      </c>
      <c r="D10" s="42" t="s">
        <v>154</v>
      </c>
      <c r="E10" s="51" t="s">
        <v>112</v>
      </c>
      <c r="F10" s="28" t="s">
        <v>113</v>
      </c>
      <c r="G10" s="51" t="s">
        <v>114</v>
      </c>
      <c r="H10" s="28" t="s">
        <v>80</v>
      </c>
      <c r="I10" s="51" t="s">
        <v>93</v>
      </c>
      <c r="J10" s="28">
        <v>15</v>
      </c>
      <c r="K10" s="51">
        <f t="shared" ref="K10:K11" si="0">J10*5</f>
        <v>75</v>
      </c>
      <c r="L10" s="28"/>
    </row>
    <row r="11" spans="1:12" ht="15.75" thickBot="1" x14ac:dyDescent="0.3">
      <c r="A11" s="1"/>
      <c r="B11" s="49">
        <f t="shared" ref="B11:B35" si="1">ROW(B11) - ROW($B$9)</f>
        <v>2</v>
      </c>
      <c r="C11" s="40" t="s">
        <v>7</v>
      </c>
      <c r="D11" s="42" t="s">
        <v>115</v>
      </c>
      <c r="E11" s="51" t="s">
        <v>34</v>
      </c>
      <c r="F11" s="28" t="s">
        <v>52</v>
      </c>
      <c r="G11" s="51" t="s">
        <v>64</v>
      </c>
      <c r="H11" s="28" t="s">
        <v>80</v>
      </c>
      <c r="I11" s="51" t="s">
        <v>92</v>
      </c>
      <c r="J11" s="28">
        <v>6</v>
      </c>
      <c r="K11" s="51">
        <f t="shared" si="0"/>
        <v>30</v>
      </c>
      <c r="L11" s="28"/>
    </row>
    <row r="12" spans="1:12" ht="15.75" thickBot="1" x14ac:dyDescent="0.3">
      <c r="A12" s="1"/>
      <c r="B12" s="49">
        <f>ROW(B12) - ROW($B$9)</f>
        <v>3</v>
      </c>
      <c r="C12" s="40" t="s">
        <v>7</v>
      </c>
      <c r="D12" s="43" t="s">
        <v>116</v>
      </c>
      <c r="E12" s="50" t="s">
        <v>35</v>
      </c>
      <c r="F12" s="27" t="s">
        <v>52</v>
      </c>
      <c r="G12" s="50" t="s">
        <v>65</v>
      </c>
      <c r="H12" s="27" t="s">
        <v>80</v>
      </c>
      <c r="I12" s="50" t="s">
        <v>94</v>
      </c>
      <c r="J12" s="27">
        <v>2</v>
      </c>
      <c r="K12" s="50">
        <f>J12*5</f>
        <v>10</v>
      </c>
      <c r="L12" s="27"/>
    </row>
    <row r="13" spans="1:12" ht="15.75" thickBot="1" x14ac:dyDescent="0.3">
      <c r="A13" s="1"/>
      <c r="B13" s="49">
        <f>ROW(B13) - ROW($B$9)</f>
        <v>4</v>
      </c>
      <c r="C13" s="40" t="s">
        <v>8</v>
      </c>
      <c r="D13" s="43" t="s">
        <v>19</v>
      </c>
      <c r="E13" s="50" t="s">
        <v>36</v>
      </c>
      <c r="F13" s="27" t="s">
        <v>53</v>
      </c>
      <c r="G13" s="50" t="s">
        <v>66</v>
      </c>
      <c r="H13" s="27" t="s">
        <v>81</v>
      </c>
      <c r="I13" s="27" t="s">
        <v>100</v>
      </c>
      <c r="J13" s="27">
        <v>1</v>
      </c>
      <c r="K13" s="50">
        <f>J13*5</f>
        <v>5</v>
      </c>
      <c r="L13" s="27"/>
    </row>
    <row r="14" spans="1:12" ht="15.75" thickBot="1" x14ac:dyDescent="0.3">
      <c r="A14" s="1"/>
      <c r="B14" s="49">
        <f t="shared" si="1"/>
        <v>5</v>
      </c>
      <c r="C14" s="40" t="s">
        <v>8</v>
      </c>
      <c r="D14" s="42" t="s">
        <v>117</v>
      </c>
      <c r="E14" s="51" t="s">
        <v>118</v>
      </c>
      <c r="F14" s="28" t="s">
        <v>119</v>
      </c>
      <c r="G14" s="51" t="s">
        <v>120</v>
      </c>
      <c r="H14" s="28" t="s">
        <v>121</v>
      </c>
      <c r="I14" s="28" t="s">
        <v>100</v>
      </c>
      <c r="J14" s="28">
        <v>1</v>
      </c>
      <c r="K14" s="51">
        <f t="shared" ref="K14" si="2">J14*5</f>
        <v>5</v>
      </c>
      <c r="L14" s="28"/>
    </row>
    <row r="15" spans="1:12" ht="24.75" thickBot="1" x14ac:dyDescent="0.3">
      <c r="A15" s="1"/>
      <c r="B15" s="49">
        <f>ROW(B15) - ROW($B$9)</f>
        <v>6</v>
      </c>
      <c r="C15" s="40" t="s">
        <v>9</v>
      </c>
      <c r="D15" s="43" t="s">
        <v>20</v>
      </c>
      <c r="E15" s="50" t="s">
        <v>37</v>
      </c>
      <c r="F15" s="27" t="s">
        <v>54</v>
      </c>
      <c r="G15" s="50" t="s">
        <v>67</v>
      </c>
      <c r="H15" s="27" t="s">
        <v>82</v>
      </c>
      <c r="I15" s="27" t="s">
        <v>100</v>
      </c>
      <c r="J15" s="27">
        <v>1</v>
      </c>
      <c r="K15" s="50">
        <f>J15*5</f>
        <v>5</v>
      </c>
      <c r="L15" s="27"/>
    </row>
    <row r="16" spans="1:12" ht="15.75" thickBot="1" x14ac:dyDescent="0.3">
      <c r="A16" s="1"/>
      <c r="B16" s="49">
        <f t="shared" si="1"/>
        <v>7</v>
      </c>
      <c r="C16" s="40" t="s">
        <v>10</v>
      </c>
      <c r="D16" s="42" t="s">
        <v>21</v>
      </c>
      <c r="E16" s="51" t="s">
        <v>38</v>
      </c>
      <c r="F16" s="28" t="s">
        <v>55</v>
      </c>
      <c r="G16" s="51" t="s">
        <v>68</v>
      </c>
      <c r="H16" s="28" t="s">
        <v>83</v>
      </c>
      <c r="I16" s="27" t="s">
        <v>100</v>
      </c>
      <c r="J16" s="28">
        <v>1</v>
      </c>
      <c r="K16" s="51">
        <f t="shared" ref="K16" si="3">J16*5</f>
        <v>5</v>
      </c>
      <c r="L16" s="28"/>
    </row>
    <row r="17" spans="1:12" ht="48.75" thickBot="1" x14ac:dyDescent="0.3">
      <c r="A17" s="1"/>
      <c r="B17" s="49">
        <f>ROW(B17) - ROW($B$9)</f>
        <v>8</v>
      </c>
      <c r="C17" s="40" t="s">
        <v>122</v>
      </c>
      <c r="D17" s="43" t="s">
        <v>22</v>
      </c>
      <c r="E17" s="50" t="s">
        <v>123</v>
      </c>
      <c r="F17" s="27" t="s">
        <v>124</v>
      </c>
      <c r="G17" s="50" t="s">
        <v>124</v>
      </c>
      <c r="H17" s="27" t="s">
        <v>88</v>
      </c>
      <c r="I17" s="27" t="s">
        <v>100</v>
      </c>
      <c r="J17" s="27">
        <v>1</v>
      </c>
      <c r="K17" s="50">
        <f>J17*5</f>
        <v>5</v>
      </c>
      <c r="L17" s="27"/>
    </row>
    <row r="18" spans="1:12" ht="48.75" thickBot="1" x14ac:dyDescent="0.3">
      <c r="A18" s="1"/>
      <c r="B18" s="49">
        <f t="shared" si="1"/>
        <v>9</v>
      </c>
      <c r="C18" s="40" t="s">
        <v>11</v>
      </c>
      <c r="D18" s="42" t="s">
        <v>125</v>
      </c>
      <c r="E18" s="51" t="s">
        <v>39</v>
      </c>
      <c r="F18" s="28" t="s">
        <v>56</v>
      </c>
      <c r="G18" s="51" t="s">
        <v>56</v>
      </c>
      <c r="H18" s="28" t="s">
        <v>84</v>
      </c>
      <c r="I18" s="27" t="s">
        <v>100</v>
      </c>
      <c r="J18" s="28">
        <v>1</v>
      </c>
      <c r="K18" s="51">
        <f t="shared" ref="K18" si="4">J18*5</f>
        <v>5</v>
      </c>
      <c r="L18" s="28"/>
    </row>
    <row r="19" spans="1:12" ht="36.75" thickBot="1" x14ac:dyDescent="0.3">
      <c r="A19" s="1"/>
      <c r="B19" s="49">
        <f>ROW(B19) - ROW($B$9)</f>
        <v>10</v>
      </c>
      <c r="C19" s="40" t="s">
        <v>12</v>
      </c>
      <c r="D19" s="43" t="s">
        <v>23</v>
      </c>
      <c r="E19" s="50" t="s">
        <v>40</v>
      </c>
      <c r="F19" s="27" t="s">
        <v>152</v>
      </c>
      <c r="G19" s="50" t="s">
        <v>69</v>
      </c>
      <c r="H19" s="27" t="s">
        <v>85</v>
      </c>
      <c r="I19" s="27" t="s">
        <v>100</v>
      </c>
      <c r="J19" s="27">
        <v>1</v>
      </c>
      <c r="K19" s="50">
        <f>J19*5</f>
        <v>5</v>
      </c>
      <c r="L19" s="27"/>
    </row>
    <row r="20" spans="1:12" ht="24.75" thickBot="1" x14ac:dyDescent="0.3">
      <c r="A20" s="1"/>
      <c r="B20" s="49">
        <f t="shared" si="1"/>
        <v>11</v>
      </c>
      <c r="C20" s="40" t="s">
        <v>13</v>
      </c>
      <c r="D20" s="42" t="s">
        <v>24</v>
      </c>
      <c r="E20" s="51" t="s">
        <v>41</v>
      </c>
      <c r="F20" s="28" t="s">
        <v>57</v>
      </c>
      <c r="G20" s="51" t="s">
        <v>70</v>
      </c>
      <c r="H20" s="28" t="s">
        <v>86</v>
      </c>
      <c r="I20" s="27" t="s">
        <v>100</v>
      </c>
      <c r="J20" s="28">
        <v>1</v>
      </c>
      <c r="K20" s="51">
        <f t="shared" ref="K20" si="5">J20*5</f>
        <v>5</v>
      </c>
      <c r="L20" s="28"/>
    </row>
    <row r="21" spans="1:12" ht="24.75" thickBot="1" x14ac:dyDescent="0.3">
      <c r="A21" s="1"/>
      <c r="B21" s="49">
        <f>ROW(B21) - ROW($B$9)</f>
        <v>12</v>
      </c>
      <c r="C21" s="40" t="s">
        <v>13</v>
      </c>
      <c r="D21" s="43" t="s">
        <v>25</v>
      </c>
      <c r="E21" s="50" t="s">
        <v>42</v>
      </c>
      <c r="F21" s="27" t="s">
        <v>57</v>
      </c>
      <c r="G21" s="50" t="s">
        <v>71</v>
      </c>
      <c r="H21" s="27" t="s">
        <v>86</v>
      </c>
      <c r="I21" s="27" t="s">
        <v>100</v>
      </c>
      <c r="J21" s="27">
        <v>1</v>
      </c>
      <c r="K21" s="50">
        <f>J21*5</f>
        <v>5</v>
      </c>
      <c r="L21" s="27"/>
    </row>
    <row r="22" spans="1:12" ht="24.75" thickBot="1" x14ac:dyDescent="0.3">
      <c r="A22" s="1"/>
      <c r="B22" s="49">
        <f t="shared" si="1"/>
        <v>13</v>
      </c>
      <c r="C22" s="40" t="s">
        <v>13</v>
      </c>
      <c r="D22" s="42" t="s">
        <v>26</v>
      </c>
      <c r="E22" s="51" t="s">
        <v>43</v>
      </c>
      <c r="F22" s="28" t="s">
        <v>57</v>
      </c>
      <c r="G22" s="51" t="s">
        <v>72</v>
      </c>
      <c r="H22" s="28" t="s">
        <v>86</v>
      </c>
      <c r="I22" s="27" t="s">
        <v>100</v>
      </c>
      <c r="J22" s="28">
        <v>1</v>
      </c>
      <c r="K22" s="51">
        <f t="shared" ref="K22" si="6">J22*5</f>
        <v>5</v>
      </c>
      <c r="L22" s="28"/>
    </row>
    <row r="23" spans="1:12" ht="24.75" thickBot="1" x14ac:dyDescent="0.3">
      <c r="A23" s="1"/>
      <c r="B23" s="49">
        <f>ROW(B23) - ROW($B$9)</f>
        <v>14</v>
      </c>
      <c r="C23" s="40" t="s">
        <v>126</v>
      </c>
      <c r="D23" s="43" t="s">
        <v>127</v>
      </c>
      <c r="E23" s="50" t="s">
        <v>128</v>
      </c>
      <c r="F23" s="27" t="s">
        <v>129</v>
      </c>
      <c r="G23" s="50" t="s">
        <v>129</v>
      </c>
      <c r="H23" s="27" t="s">
        <v>130</v>
      </c>
      <c r="I23" s="27" t="s">
        <v>100</v>
      </c>
      <c r="J23" s="27">
        <v>6</v>
      </c>
      <c r="K23" s="50">
        <f>J23*5</f>
        <v>30</v>
      </c>
      <c r="L23" s="27"/>
    </row>
    <row r="24" spans="1:12" ht="24.75" thickBot="1" x14ac:dyDescent="0.3">
      <c r="A24" s="1"/>
      <c r="B24" s="49">
        <f t="shared" si="1"/>
        <v>15</v>
      </c>
      <c r="C24" s="40" t="s">
        <v>14</v>
      </c>
      <c r="D24" s="42" t="s">
        <v>153</v>
      </c>
      <c r="E24" s="51" t="s">
        <v>131</v>
      </c>
      <c r="F24" s="28" t="s">
        <v>58</v>
      </c>
      <c r="G24" s="51" t="s">
        <v>132</v>
      </c>
      <c r="H24" s="28" t="s">
        <v>133</v>
      </c>
      <c r="I24" s="27" t="s">
        <v>100</v>
      </c>
      <c r="J24" s="28">
        <v>1</v>
      </c>
      <c r="K24" s="51">
        <f t="shared" ref="K24" si="7">J24*5</f>
        <v>5</v>
      </c>
      <c r="L24" s="28"/>
    </row>
    <row r="25" spans="1:12" ht="15.75" thickBot="1" x14ac:dyDescent="0.3">
      <c r="A25" s="1"/>
      <c r="B25" s="49">
        <f>ROW(B25) - ROW($B$9)</f>
        <v>16</v>
      </c>
      <c r="C25" s="40" t="s">
        <v>15</v>
      </c>
      <c r="D25" s="43" t="s">
        <v>134</v>
      </c>
      <c r="E25" s="50" t="s">
        <v>46</v>
      </c>
      <c r="F25" s="27" t="s">
        <v>59</v>
      </c>
      <c r="G25" s="50" t="s">
        <v>75</v>
      </c>
      <c r="H25" s="27" t="s">
        <v>80</v>
      </c>
      <c r="I25" s="50" t="s">
        <v>97</v>
      </c>
      <c r="J25" s="27">
        <v>5</v>
      </c>
      <c r="K25" s="50">
        <f>J25*5</f>
        <v>25</v>
      </c>
      <c r="L25" s="27"/>
    </row>
    <row r="26" spans="1:12" ht="15.75" thickBot="1" x14ac:dyDescent="0.3">
      <c r="A26" s="1"/>
      <c r="B26" s="49">
        <f t="shared" si="1"/>
        <v>17</v>
      </c>
      <c r="C26" s="40" t="s">
        <v>15</v>
      </c>
      <c r="D26" s="42" t="s">
        <v>27</v>
      </c>
      <c r="E26" s="51" t="s">
        <v>44</v>
      </c>
      <c r="F26" s="28" t="s">
        <v>59</v>
      </c>
      <c r="G26" s="51" t="s">
        <v>73</v>
      </c>
      <c r="H26" s="28" t="s">
        <v>80</v>
      </c>
      <c r="I26" s="51" t="s">
        <v>95</v>
      </c>
      <c r="J26" s="28">
        <v>1</v>
      </c>
      <c r="K26" s="51">
        <f t="shared" ref="K26" si="8">J26*5</f>
        <v>5</v>
      </c>
      <c r="L26" s="28"/>
    </row>
    <row r="27" spans="1:12" ht="15.75" thickBot="1" x14ac:dyDescent="0.3">
      <c r="A27" s="1"/>
      <c r="B27" s="49">
        <f>ROW(B27) - ROW($B$9)</f>
        <v>18</v>
      </c>
      <c r="C27" s="40" t="s">
        <v>15</v>
      </c>
      <c r="D27" s="43" t="s">
        <v>155</v>
      </c>
      <c r="E27" s="50" t="s">
        <v>135</v>
      </c>
      <c r="F27" s="27" t="s">
        <v>59</v>
      </c>
      <c r="G27" s="50" t="s">
        <v>136</v>
      </c>
      <c r="H27" s="27" t="s">
        <v>80</v>
      </c>
      <c r="I27" s="50" t="s">
        <v>150</v>
      </c>
      <c r="J27" s="27">
        <v>3</v>
      </c>
      <c r="K27" s="50">
        <f>J27*5</f>
        <v>15</v>
      </c>
      <c r="L27" s="27"/>
    </row>
    <row r="28" spans="1:12" ht="15.75" thickBot="1" x14ac:dyDescent="0.3">
      <c r="A28" s="1"/>
      <c r="B28" s="49">
        <f t="shared" si="1"/>
        <v>19</v>
      </c>
      <c r="C28" s="40" t="s">
        <v>15</v>
      </c>
      <c r="D28" s="42" t="s">
        <v>137</v>
      </c>
      <c r="E28" s="51" t="s">
        <v>45</v>
      </c>
      <c r="F28" s="28" t="s">
        <v>59</v>
      </c>
      <c r="G28" s="51" t="s">
        <v>74</v>
      </c>
      <c r="H28" s="28" t="s">
        <v>80</v>
      </c>
      <c r="I28" s="51" t="s">
        <v>96</v>
      </c>
      <c r="J28" s="28">
        <v>1</v>
      </c>
      <c r="K28" s="51">
        <f t="shared" ref="K28" si="9">J28*5</f>
        <v>5</v>
      </c>
      <c r="L28" s="28"/>
    </row>
    <row r="29" spans="1:12" ht="15.75" thickBot="1" x14ac:dyDescent="0.3">
      <c r="A29" s="1"/>
      <c r="B29" s="49">
        <f>ROW(B29) - ROW($B$9)</f>
        <v>20</v>
      </c>
      <c r="C29" s="40" t="s">
        <v>15</v>
      </c>
      <c r="D29" s="43" t="s">
        <v>28</v>
      </c>
      <c r="E29" s="50" t="s">
        <v>47</v>
      </c>
      <c r="F29" s="27" t="s">
        <v>59</v>
      </c>
      <c r="G29" s="50" t="s">
        <v>76</v>
      </c>
      <c r="H29" s="27" t="s">
        <v>80</v>
      </c>
      <c r="I29" s="50" t="s">
        <v>98</v>
      </c>
      <c r="J29" s="27">
        <v>1</v>
      </c>
      <c r="K29" s="50">
        <f>J29*5</f>
        <v>5</v>
      </c>
      <c r="L29" s="27"/>
    </row>
    <row r="30" spans="1:12" ht="15.75" thickBot="1" x14ac:dyDescent="0.3">
      <c r="A30" s="1"/>
      <c r="B30" s="49">
        <f t="shared" si="1"/>
        <v>21</v>
      </c>
      <c r="C30" s="40" t="s">
        <v>15</v>
      </c>
      <c r="D30" s="42" t="s">
        <v>138</v>
      </c>
      <c r="E30" s="51" t="s">
        <v>46</v>
      </c>
      <c r="F30" s="28" t="s">
        <v>59</v>
      </c>
      <c r="G30" s="51" t="s">
        <v>75</v>
      </c>
      <c r="H30" s="28" t="s">
        <v>80</v>
      </c>
      <c r="I30" s="51" t="s">
        <v>151</v>
      </c>
      <c r="J30" s="28">
        <v>1</v>
      </c>
      <c r="K30" s="51">
        <f t="shared" ref="K30:K31" si="10">J30*5</f>
        <v>5</v>
      </c>
      <c r="L30" s="28"/>
    </row>
    <row r="31" spans="1:12" ht="24.75" thickBot="1" x14ac:dyDescent="0.3">
      <c r="A31" s="1"/>
      <c r="B31" s="49">
        <f t="shared" si="1"/>
        <v>22</v>
      </c>
      <c r="C31" s="40" t="s">
        <v>140</v>
      </c>
      <c r="D31" s="42" t="s">
        <v>29</v>
      </c>
      <c r="E31" s="51" t="s">
        <v>141</v>
      </c>
      <c r="F31" s="28" t="s">
        <v>142</v>
      </c>
      <c r="G31" s="51" t="s">
        <v>142</v>
      </c>
      <c r="H31" s="28" t="s">
        <v>139</v>
      </c>
      <c r="I31" s="27" t="s">
        <v>100</v>
      </c>
      <c r="J31" s="28">
        <v>1</v>
      </c>
      <c r="K31" s="51">
        <f t="shared" si="10"/>
        <v>5</v>
      </c>
      <c r="L31" s="28"/>
    </row>
    <row r="32" spans="1:12" ht="36.75" thickBot="1" x14ac:dyDescent="0.3">
      <c r="A32" s="1"/>
      <c r="B32" s="49">
        <f>ROW(B32) - ROW($B$9)</f>
        <v>23</v>
      </c>
      <c r="C32" s="40" t="s">
        <v>140</v>
      </c>
      <c r="D32" s="43" t="s">
        <v>143</v>
      </c>
      <c r="E32" s="50" t="s">
        <v>144</v>
      </c>
      <c r="F32" s="27" t="s">
        <v>145</v>
      </c>
      <c r="G32" s="50" t="s">
        <v>145</v>
      </c>
      <c r="H32" s="27" t="s">
        <v>146</v>
      </c>
      <c r="I32" s="28" t="s">
        <v>100</v>
      </c>
      <c r="J32" s="27">
        <v>2</v>
      </c>
      <c r="K32" s="50">
        <f>J32*5</f>
        <v>10</v>
      </c>
      <c r="L32" s="27"/>
    </row>
    <row r="33" spans="1:12" ht="36.75" thickBot="1" x14ac:dyDescent="0.3">
      <c r="A33" s="1"/>
      <c r="B33" s="49">
        <f t="shared" si="1"/>
        <v>24</v>
      </c>
      <c r="C33" s="40" t="s">
        <v>140</v>
      </c>
      <c r="D33" s="42" t="s">
        <v>147</v>
      </c>
      <c r="E33" s="51" t="s">
        <v>148</v>
      </c>
      <c r="F33" s="28" t="s">
        <v>149</v>
      </c>
      <c r="G33" s="51" t="s">
        <v>149</v>
      </c>
      <c r="H33" s="28" t="s">
        <v>87</v>
      </c>
      <c r="I33" s="27" t="s">
        <v>100</v>
      </c>
      <c r="J33" s="28">
        <v>1</v>
      </c>
      <c r="K33" s="51">
        <f t="shared" ref="K33" si="11">J33*5</f>
        <v>5</v>
      </c>
      <c r="L33" s="28"/>
    </row>
    <row r="34" spans="1:12" ht="24.75" thickBot="1" x14ac:dyDescent="0.3">
      <c r="A34" s="1"/>
      <c r="B34" s="49">
        <f>ROW(B34) - ROW($B$9)</f>
        <v>25</v>
      </c>
      <c r="C34" s="40" t="s">
        <v>14</v>
      </c>
      <c r="D34" s="43" t="s">
        <v>30</v>
      </c>
      <c r="E34" s="50" t="s">
        <v>48</v>
      </c>
      <c r="F34" s="27" t="s">
        <v>60</v>
      </c>
      <c r="G34" s="50" t="s">
        <v>77</v>
      </c>
      <c r="H34" s="27" t="s">
        <v>89</v>
      </c>
      <c r="I34" s="27" t="s">
        <v>100</v>
      </c>
      <c r="J34" s="27">
        <v>1</v>
      </c>
      <c r="K34" s="50">
        <f>J34*5</f>
        <v>5</v>
      </c>
      <c r="L34" s="27"/>
    </row>
    <row r="35" spans="1:12" ht="15.75" thickBot="1" x14ac:dyDescent="0.3">
      <c r="A35" s="1"/>
      <c r="B35" s="49">
        <f t="shared" si="1"/>
        <v>26</v>
      </c>
      <c r="C35" s="40" t="s">
        <v>16</v>
      </c>
      <c r="D35" s="42" t="s">
        <v>31</v>
      </c>
      <c r="E35" s="51" t="s">
        <v>49</v>
      </c>
      <c r="F35" s="28" t="s">
        <v>61</v>
      </c>
      <c r="G35" s="51" t="s">
        <v>78</v>
      </c>
      <c r="H35" s="28" t="s">
        <v>90</v>
      </c>
      <c r="I35" s="27" t="s">
        <v>100</v>
      </c>
      <c r="J35" s="28">
        <v>1</v>
      </c>
      <c r="K35" s="51">
        <f t="shared" ref="K35" si="12">J35*5</f>
        <v>5</v>
      </c>
      <c r="L35" s="28"/>
    </row>
    <row r="36" spans="1:12" ht="24.75" thickBot="1" x14ac:dyDescent="0.3">
      <c r="A36" s="1"/>
      <c r="B36" s="49">
        <f>ROW(B36) - ROW($B$9)</f>
        <v>27</v>
      </c>
      <c r="C36" s="40" t="s">
        <v>17</v>
      </c>
      <c r="D36" s="43" t="s">
        <v>32</v>
      </c>
      <c r="E36" s="50" t="s">
        <v>50</v>
      </c>
      <c r="F36" s="27" t="s">
        <v>62</v>
      </c>
      <c r="G36" s="50" t="s">
        <v>62</v>
      </c>
      <c r="H36" s="27" t="s">
        <v>91</v>
      </c>
      <c r="I36" s="27" t="s">
        <v>100</v>
      </c>
      <c r="J36" s="27">
        <v>1</v>
      </c>
      <c r="K36" s="50">
        <f>J36*5</f>
        <v>5</v>
      </c>
      <c r="L36" s="27"/>
    </row>
    <row r="37" spans="1:12" ht="48" x14ac:dyDescent="0.25">
      <c r="A37" s="1"/>
      <c r="B37" s="39">
        <f t="shared" ref="B37:B38" si="13">ROW(B37) - ROW($B$9)</f>
        <v>28</v>
      </c>
      <c r="C37" s="40" t="s">
        <v>108</v>
      </c>
      <c r="D37" s="27" t="s">
        <v>107</v>
      </c>
      <c r="E37" s="27" t="s">
        <v>109</v>
      </c>
      <c r="F37" s="27" t="s">
        <v>100</v>
      </c>
      <c r="G37" s="27" t="s">
        <v>100</v>
      </c>
      <c r="H37" s="27" t="s">
        <v>100</v>
      </c>
      <c r="I37" s="27" t="s">
        <v>100</v>
      </c>
      <c r="J37" s="27">
        <v>1</v>
      </c>
      <c r="K37" s="27">
        <f>J37*5</f>
        <v>5</v>
      </c>
      <c r="L37" s="27"/>
    </row>
    <row r="38" spans="1:12" ht="36.75" thickBot="1" x14ac:dyDescent="0.3">
      <c r="A38" s="1"/>
      <c r="B38" s="39">
        <f t="shared" si="13"/>
        <v>29</v>
      </c>
      <c r="C38" s="40" t="s">
        <v>110</v>
      </c>
      <c r="D38" s="27" t="s">
        <v>107</v>
      </c>
      <c r="E38" s="27" t="s">
        <v>111</v>
      </c>
      <c r="F38" s="27" t="s">
        <v>100</v>
      </c>
      <c r="G38" s="27" t="s">
        <v>100</v>
      </c>
      <c r="H38" s="27" t="s">
        <v>100</v>
      </c>
      <c r="I38" s="27" t="s">
        <v>100</v>
      </c>
      <c r="J38" s="27">
        <v>1</v>
      </c>
      <c r="K38" s="27">
        <f>J38*5</f>
        <v>5</v>
      </c>
      <c r="L38" s="28"/>
    </row>
    <row r="39" spans="1:12" x14ac:dyDescent="0.25">
      <c r="A39" s="1"/>
      <c r="B39" s="52"/>
      <c r="C39" s="53"/>
      <c r="D39" s="54"/>
      <c r="E39" s="55"/>
      <c r="F39" s="56"/>
      <c r="G39" s="57"/>
      <c r="H39" s="56"/>
      <c r="I39" s="57"/>
      <c r="J39" s="57"/>
      <c r="K39" s="57"/>
      <c r="L39" s="58"/>
    </row>
    <row r="40" spans="1:12" ht="15.75" thickBot="1" x14ac:dyDescent="0.3">
      <c r="A40" s="1"/>
      <c r="B40" s="44"/>
      <c r="C40" s="45"/>
      <c r="D40" s="46"/>
      <c r="E40" s="47"/>
      <c r="F40" s="47"/>
      <c r="G40" s="47"/>
      <c r="H40" s="47"/>
      <c r="I40" s="47"/>
      <c r="J40" s="47"/>
      <c r="K40" s="47"/>
      <c r="L40" s="59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3"/>
  <sheetViews>
    <sheetView tabSelected="1" topLeftCell="A7" workbookViewId="0">
      <selection activeCell="E35" sqref="E35"/>
    </sheetView>
  </sheetViews>
  <sheetFormatPr defaultRowHeight="15" x14ac:dyDescent="0.25"/>
  <cols>
    <col min="2" max="2" width="3" bestFit="1" customWidth="1"/>
    <col min="3" max="3" width="16" customWidth="1"/>
    <col min="4" max="4" width="31.140625" bestFit="1" customWidth="1"/>
    <col min="5" max="5" width="30.85546875" customWidth="1"/>
    <col min="6" max="6" width="14.140625" customWidth="1"/>
    <col min="7" max="7" width="29.42578125" customWidth="1"/>
    <col min="8" max="8" width="17.5703125" customWidth="1"/>
    <col min="9" max="9" width="6.140625" bestFit="1" customWidth="1"/>
    <col min="10" max="10" width="8.7109375" bestFit="1" customWidth="1"/>
    <col min="11" max="11" width="18.28515625" bestFit="1" customWidth="1"/>
    <col min="12" max="12" width="28.570312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60"/>
      <c r="J1" s="60"/>
      <c r="K1" s="60"/>
      <c r="L1" s="60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104</v>
      </c>
      <c r="G2" s="9"/>
      <c r="H2" s="3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105</v>
      </c>
      <c r="G3" s="10"/>
      <c r="H3" s="4"/>
      <c r="I3" s="4"/>
      <c r="J3" s="4"/>
      <c r="K3" s="4"/>
      <c r="L3" s="61"/>
    </row>
    <row r="4" spans="1:12" x14ac:dyDescent="0.25">
      <c r="A4" s="1"/>
      <c r="B4" s="19"/>
      <c r="C4" s="31"/>
      <c r="D4" s="10" t="s">
        <v>2</v>
      </c>
      <c r="E4" s="10"/>
      <c r="F4" s="37" t="s">
        <v>105</v>
      </c>
      <c r="G4" s="11"/>
      <c r="H4" s="6"/>
      <c r="I4" s="6"/>
      <c r="J4" s="6"/>
      <c r="K4" s="6"/>
      <c r="L4" s="62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5"/>
      <c r="I5" s="5"/>
      <c r="J5" s="5"/>
      <c r="K5" s="5"/>
      <c r="L5" s="62"/>
    </row>
    <row r="6" spans="1:12" x14ac:dyDescent="0.25">
      <c r="A6" s="1"/>
      <c r="B6" s="20"/>
      <c r="C6" s="32"/>
      <c r="D6" s="13"/>
      <c r="E6" s="13"/>
      <c r="F6" s="14"/>
      <c r="G6" s="12"/>
      <c r="H6" s="5"/>
      <c r="I6" s="5"/>
      <c r="J6" s="5"/>
      <c r="K6" s="5"/>
      <c r="L6" s="62"/>
    </row>
    <row r="7" spans="1:12" x14ac:dyDescent="0.25">
      <c r="A7" s="1"/>
      <c r="B7" s="21"/>
      <c r="C7" s="33"/>
      <c r="D7" s="15"/>
      <c r="E7" s="15"/>
      <c r="F7" s="16"/>
      <c r="G7" s="15"/>
      <c r="H7" s="7"/>
      <c r="I7" s="7"/>
      <c r="J7" s="7"/>
      <c r="K7" s="7"/>
      <c r="L7" s="62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7"/>
      <c r="I8" s="7"/>
      <c r="J8" s="7"/>
      <c r="K8" s="7"/>
      <c r="L8" s="62"/>
    </row>
    <row r="9" spans="1:12" ht="15.75" thickBot="1" x14ac:dyDescent="0.3">
      <c r="A9" s="1"/>
      <c r="B9" s="26" t="s">
        <v>4</v>
      </c>
      <c r="C9" s="26" t="s">
        <v>6</v>
      </c>
      <c r="D9" s="26" t="s">
        <v>18</v>
      </c>
      <c r="E9" s="48" t="s">
        <v>33</v>
      </c>
      <c r="F9" s="26" t="s">
        <v>51</v>
      </c>
      <c r="G9" s="48" t="s">
        <v>63</v>
      </c>
      <c r="H9" s="26" t="s">
        <v>79</v>
      </c>
      <c r="I9" s="48" t="s">
        <v>106</v>
      </c>
      <c r="J9" s="26" t="s">
        <v>99</v>
      </c>
      <c r="K9" s="26" t="s">
        <v>101</v>
      </c>
      <c r="L9" s="26" t="s">
        <v>103</v>
      </c>
    </row>
    <row r="10" spans="1:12" s="41" customFormat="1" ht="24.75" thickBot="1" x14ac:dyDescent="0.3">
      <c r="A10" s="1"/>
      <c r="B10" s="49">
        <f>ROW(B10) - ROW($B$9)</f>
        <v>1</v>
      </c>
      <c r="C10" s="40" t="s">
        <v>7</v>
      </c>
      <c r="D10" s="42" t="s">
        <v>154</v>
      </c>
      <c r="E10" s="51" t="s">
        <v>112</v>
      </c>
      <c r="F10" s="28" t="s">
        <v>113</v>
      </c>
      <c r="G10" s="51" t="s">
        <v>114</v>
      </c>
      <c r="H10" s="28" t="s">
        <v>80</v>
      </c>
      <c r="I10" s="51" t="s">
        <v>93</v>
      </c>
      <c r="J10" s="28">
        <v>15</v>
      </c>
      <c r="K10" s="51">
        <f t="shared" ref="K10" si="0">J10*5</f>
        <v>75</v>
      </c>
      <c r="L10" s="28"/>
    </row>
    <row r="11" spans="1:12" s="41" customFormat="1" ht="15.75" thickBot="1" x14ac:dyDescent="0.3">
      <c r="A11" s="1"/>
      <c r="B11" s="49">
        <f t="shared" ref="B11:B35" si="1">ROW(B11) - ROW($B$9)</f>
        <v>2</v>
      </c>
      <c r="C11" s="40" t="s">
        <v>7</v>
      </c>
      <c r="D11" s="42" t="s">
        <v>115</v>
      </c>
      <c r="E11" s="51" t="s">
        <v>34</v>
      </c>
      <c r="F11" s="28" t="s">
        <v>52</v>
      </c>
      <c r="G11" s="51" t="s">
        <v>64</v>
      </c>
      <c r="H11" s="28" t="s">
        <v>80</v>
      </c>
      <c r="I11" s="51" t="s">
        <v>92</v>
      </c>
      <c r="J11" s="28">
        <v>6</v>
      </c>
      <c r="K11" s="51">
        <f t="shared" ref="K11" si="2">J11*5</f>
        <v>30</v>
      </c>
      <c r="L11" s="28"/>
    </row>
    <row r="12" spans="1:12" s="41" customFormat="1" ht="15.75" thickBot="1" x14ac:dyDescent="0.3">
      <c r="A12" s="1"/>
      <c r="B12" s="49">
        <f>ROW(B12) - ROW($B$9)</f>
        <v>3</v>
      </c>
      <c r="C12" s="40" t="s">
        <v>7</v>
      </c>
      <c r="D12" s="43" t="s">
        <v>116</v>
      </c>
      <c r="E12" s="50" t="s">
        <v>35</v>
      </c>
      <c r="F12" s="27" t="s">
        <v>52</v>
      </c>
      <c r="G12" s="50" t="s">
        <v>65</v>
      </c>
      <c r="H12" s="27" t="s">
        <v>80</v>
      </c>
      <c r="I12" s="50" t="s">
        <v>94</v>
      </c>
      <c r="J12" s="27">
        <v>2</v>
      </c>
      <c r="K12" s="50">
        <f>J12*5</f>
        <v>10</v>
      </c>
      <c r="L12" s="27"/>
    </row>
    <row r="13" spans="1:12" s="41" customFormat="1" ht="15.75" thickBot="1" x14ac:dyDescent="0.3">
      <c r="A13" s="1"/>
      <c r="B13" s="49">
        <f>ROW(B13) - ROW($B$9)</f>
        <v>4</v>
      </c>
      <c r="C13" s="40" t="s">
        <v>8</v>
      </c>
      <c r="D13" s="43" t="s">
        <v>19</v>
      </c>
      <c r="E13" s="50" t="s">
        <v>36</v>
      </c>
      <c r="F13" s="27" t="s">
        <v>53</v>
      </c>
      <c r="G13" s="50" t="s">
        <v>66</v>
      </c>
      <c r="H13" s="27" t="s">
        <v>81</v>
      </c>
      <c r="I13" s="27" t="s">
        <v>100</v>
      </c>
      <c r="J13" s="27">
        <v>1</v>
      </c>
      <c r="K13" s="50">
        <f>J13*5</f>
        <v>5</v>
      </c>
      <c r="L13" s="27"/>
    </row>
    <row r="14" spans="1:12" s="41" customFormat="1" ht="15.75" thickBot="1" x14ac:dyDescent="0.3">
      <c r="A14" s="1"/>
      <c r="B14" s="49">
        <f t="shared" si="1"/>
        <v>5</v>
      </c>
      <c r="C14" s="40" t="s">
        <v>8</v>
      </c>
      <c r="D14" s="42" t="s">
        <v>117</v>
      </c>
      <c r="E14" s="51" t="s">
        <v>118</v>
      </c>
      <c r="F14" s="28" t="s">
        <v>119</v>
      </c>
      <c r="G14" s="51" t="s">
        <v>120</v>
      </c>
      <c r="H14" s="28" t="s">
        <v>121</v>
      </c>
      <c r="I14" s="28" t="s">
        <v>100</v>
      </c>
      <c r="J14" s="28">
        <v>1</v>
      </c>
      <c r="K14" s="51">
        <f t="shared" ref="K14" si="3">J14*5</f>
        <v>5</v>
      </c>
      <c r="L14" s="28"/>
    </row>
    <row r="15" spans="1:12" s="41" customFormat="1" ht="24.75" thickBot="1" x14ac:dyDescent="0.3">
      <c r="A15" s="1"/>
      <c r="B15" s="49">
        <f>ROW(B15) - ROW($B$9)</f>
        <v>6</v>
      </c>
      <c r="C15" s="40" t="s">
        <v>9</v>
      </c>
      <c r="D15" s="43" t="s">
        <v>20</v>
      </c>
      <c r="E15" s="50" t="s">
        <v>37</v>
      </c>
      <c r="F15" s="27" t="s">
        <v>54</v>
      </c>
      <c r="G15" s="50" t="s">
        <v>67</v>
      </c>
      <c r="H15" s="27" t="s">
        <v>82</v>
      </c>
      <c r="I15" s="27" t="s">
        <v>100</v>
      </c>
      <c r="J15" s="27">
        <v>1</v>
      </c>
      <c r="K15" s="50">
        <f>J15*5</f>
        <v>5</v>
      </c>
      <c r="L15" s="27"/>
    </row>
    <row r="16" spans="1:12" s="41" customFormat="1" ht="24.75" thickBot="1" x14ac:dyDescent="0.3">
      <c r="A16" s="1"/>
      <c r="B16" s="49">
        <f t="shared" si="1"/>
        <v>7</v>
      </c>
      <c r="C16" s="40" t="s">
        <v>10</v>
      </c>
      <c r="D16" s="42" t="s">
        <v>21</v>
      </c>
      <c r="E16" s="51" t="s">
        <v>38</v>
      </c>
      <c r="F16" s="28" t="s">
        <v>55</v>
      </c>
      <c r="G16" s="51" t="s">
        <v>68</v>
      </c>
      <c r="H16" s="28" t="s">
        <v>83</v>
      </c>
      <c r="I16" s="27" t="s">
        <v>100</v>
      </c>
      <c r="J16" s="28">
        <v>1</v>
      </c>
      <c r="K16" s="51">
        <f t="shared" ref="K16" si="4">J16*5</f>
        <v>5</v>
      </c>
      <c r="L16" s="28"/>
    </row>
    <row r="17" spans="1:12" s="41" customFormat="1" ht="48.75" thickBot="1" x14ac:dyDescent="0.3">
      <c r="A17" s="1"/>
      <c r="B17" s="49">
        <f>ROW(B17) - ROW($B$9)</f>
        <v>8</v>
      </c>
      <c r="C17" s="40" t="s">
        <v>122</v>
      </c>
      <c r="D17" s="43" t="s">
        <v>22</v>
      </c>
      <c r="E17" s="50" t="s">
        <v>123</v>
      </c>
      <c r="F17" s="27" t="s">
        <v>124</v>
      </c>
      <c r="G17" s="50" t="s">
        <v>124</v>
      </c>
      <c r="H17" s="27" t="s">
        <v>88</v>
      </c>
      <c r="I17" s="27" t="s">
        <v>100</v>
      </c>
      <c r="J17" s="27">
        <v>1</v>
      </c>
      <c r="K17" s="50">
        <f>J17*5</f>
        <v>5</v>
      </c>
      <c r="L17" s="27"/>
    </row>
    <row r="18" spans="1:12" s="41" customFormat="1" ht="48.75" thickBot="1" x14ac:dyDescent="0.3">
      <c r="A18" s="1"/>
      <c r="B18" s="49">
        <f t="shared" si="1"/>
        <v>9</v>
      </c>
      <c r="C18" s="40" t="s">
        <v>11</v>
      </c>
      <c r="D18" s="42" t="s">
        <v>125</v>
      </c>
      <c r="E18" s="51" t="s">
        <v>39</v>
      </c>
      <c r="F18" s="28" t="s">
        <v>56</v>
      </c>
      <c r="G18" s="51" t="s">
        <v>56</v>
      </c>
      <c r="H18" s="28" t="s">
        <v>84</v>
      </c>
      <c r="I18" s="27" t="s">
        <v>100</v>
      </c>
      <c r="J18" s="28">
        <v>1</v>
      </c>
      <c r="K18" s="51">
        <f t="shared" ref="K18" si="5">J18*5</f>
        <v>5</v>
      </c>
      <c r="L18" s="28"/>
    </row>
    <row r="19" spans="1:12" s="41" customFormat="1" ht="24.75" thickBot="1" x14ac:dyDescent="0.3">
      <c r="A19" s="1"/>
      <c r="B19" s="49">
        <f>ROW(B19) - ROW($B$9)</f>
        <v>10</v>
      </c>
      <c r="C19" s="40" t="s">
        <v>12</v>
      </c>
      <c r="D19" s="43" t="s">
        <v>23</v>
      </c>
      <c r="E19" s="50" t="s">
        <v>40</v>
      </c>
      <c r="F19" s="27" t="s">
        <v>152</v>
      </c>
      <c r="G19" s="50" t="s">
        <v>69</v>
      </c>
      <c r="H19" s="27" t="s">
        <v>85</v>
      </c>
      <c r="I19" s="27" t="s">
        <v>100</v>
      </c>
      <c r="J19" s="27">
        <v>1</v>
      </c>
      <c r="K19" s="50">
        <f>J19*5</f>
        <v>5</v>
      </c>
      <c r="L19" s="27"/>
    </row>
    <row r="20" spans="1:12" s="41" customFormat="1" ht="24.75" thickBot="1" x14ac:dyDescent="0.3">
      <c r="A20" s="1"/>
      <c r="B20" s="49">
        <f t="shared" si="1"/>
        <v>11</v>
      </c>
      <c r="C20" s="40" t="s">
        <v>13</v>
      </c>
      <c r="D20" s="42" t="s">
        <v>24</v>
      </c>
      <c r="E20" s="51" t="s">
        <v>41</v>
      </c>
      <c r="F20" s="28" t="s">
        <v>57</v>
      </c>
      <c r="G20" s="51" t="s">
        <v>70</v>
      </c>
      <c r="H20" s="28" t="s">
        <v>86</v>
      </c>
      <c r="I20" s="27" t="s">
        <v>100</v>
      </c>
      <c r="J20" s="28">
        <v>1</v>
      </c>
      <c r="K20" s="51">
        <f t="shared" ref="K20" si="6">J20*5</f>
        <v>5</v>
      </c>
      <c r="L20" s="28"/>
    </row>
    <row r="21" spans="1:12" s="41" customFormat="1" ht="24.75" thickBot="1" x14ac:dyDescent="0.3">
      <c r="A21" s="1"/>
      <c r="B21" s="49">
        <f>ROW(B21) - ROW($B$9)</f>
        <v>12</v>
      </c>
      <c r="C21" s="40" t="s">
        <v>13</v>
      </c>
      <c r="D21" s="43" t="s">
        <v>25</v>
      </c>
      <c r="E21" s="50" t="s">
        <v>42</v>
      </c>
      <c r="F21" s="27" t="s">
        <v>57</v>
      </c>
      <c r="G21" s="50" t="s">
        <v>71</v>
      </c>
      <c r="H21" s="27" t="s">
        <v>86</v>
      </c>
      <c r="I21" s="27" t="s">
        <v>100</v>
      </c>
      <c r="J21" s="27">
        <v>1</v>
      </c>
      <c r="K21" s="50">
        <f>J21*5</f>
        <v>5</v>
      </c>
      <c r="L21" s="27"/>
    </row>
    <row r="22" spans="1:12" s="41" customFormat="1" ht="24.75" thickBot="1" x14ac:dyDescent="0.3">
      <c r="A22" s="1"/>
      <c r="B22" s="49">
        <f t="shared" si="1"/>
        <v>13</v>
      </c>
      <c r="C22" s="40" t="s">
        <v>13</v>
      </c>
      <c r="D22" s="42" t="s">
        <v>26</v>
      </c>
      <c r="E22" s="51" t="s">
        <v>43</v>
      </c>
      <c r="F22" s="28" t="s">
        <v>57</v>
      </c>
      <c r="G22" s="51" t="s">
        <v>72</v>
      </c>
      <c r="H22" s="28" t="s">
        <v>86</v>
      </c>
      <c r="I22" s="27" t="s">
        <v>100</v>
      </c>
      <c r="J22" s="28">
        <v>1</v>
      </c>
      <c r="K22" s="51">
        <f t="shared" ref="K22" si="7">J22*5</f>
        <v>5</v>
      </c>
      <c r="L22" s="28"/>
    </row>
    <row r="23" spans="1:12" s="41" customFormat="1" ht="24.75" thickBot="1" x14ac:dyDescent="0.3">
      <c r="A23" s="1"/>
      <c r="B23" s="49">
        <f>ROW(B23) - ROW($B$9)</f>
        <v>14</v>
      </c>
      <c r="C23" s="40" t="s">
        <v>126</v>
      </c>
      <c r="D23" s="43" t="s">
        <v>127</v>
      </c>
      <c r="E23" s="50" t="s">
        <v>128</v>
      </c>
      <c r="F23" s="27" t="s">
        <v>129</v>
      </c>
      <c r="G23" s="50" t="s">
        <v>129</v>
      </c>
      <c r="H23" s="27" t="s">
        <v>130</v>
      </c>
      <c r="I23" s="27" t="s">
        <v>100</v>
      </c>
      <c r="J23" s="27">
        <v>6</v>
      </c>
      <c r="K23" s="50">
        <f>J23*5</f>
        <v>30</v>
      </c>
      <c r="L23" s="27"/>
    </row>
    <row r="24" spans="1:12" s="41" customFormat="1" ht="24.75" thickBot="1" x14ac:dyDescent="0.3">
      <c r="A24" s="1"/>
      <c r="B24" s="49">
        <f t="shared" si="1"/>
        <v>15</v>
      </c>
      <c r="C24" s="40" t="s">
        <v>14</v>
      </c>
      <c r="D24" s="42" t="s">
        <v>153</v>
      </c>
      <c r="E24" s="51" t="s">
        <v>131</v>
      </c>
      <c r="F24" s="28" t="s">
        <v>58</v>
      </c>
      <c r="G24" s="51" t="s">
        <v>132</v>
      </c>
      <c r="H24" s="28" t="s">
        <v>133</v>
      </c>
      <c r="I24" s="27" t="s">
        <v>100</v>
      </c>
      <c r="J24" s="28">
        <v>1</v>
      </c>
      <c r="K24" s="51">
        <f t="shared" ref="K24" si="8">J24*5</f>
        <v>5</v>
      </c>
      <c r="L24" s="28"/>
    </row>
    <row r="25" spans="1:12" s="41" customFormat="1" ht="15.75" thickBot="1" x14ac:dyDescent="0.3">
      <c r="A25" s="1"/>
      <c r="B25" s="49">
        <f>ROW(B25) - ROW($B$9)</f>
        <v>16</v>
      </c>
      <c r="C25" s="40" t="s">
        <v>15</v>
      </c>
      <c r="D25" s="43" t="s">
        <v>134</v>
      </c>
      <c r="E25" s="50" t="s">
        <v>46</v>
      </c>
      <c r="F25" s="27" t="s">
        <v>59</v>
      </c>
      <c r="G25" s="50" t="s">
        <v>75</v>
      </c>
      <c r="H25" s="27" t="s">
        <v>80</v>
      </c>
      <c r="I25" s="50" t="s">
        <v>97</v>
      </c>
      <c r="J25" s="27">
        <v>5</v>
      </c>
      <c r="K25" s="50">
        <f>J25*5</f>
        <v>25</v>
      </c>
      <c r="L25" s="27"/>
    </row>
    <row r="26" spans="1:12" s="41" customFormat="1" ht="15.75" thickBot="1" x14ac:dyDescent="0.3">
      <c r="A26" s="1"/>
      <c r="B26" s="49">
        <f t="shared" si="1"/>
        <v>17</v>
      </c>
      <c r="C26" s="40" t="s">
        <v>15</v>
      </c>
      <c r="D26" s="42" t="s">
        <v>27</v>
      </c>
      <c r="E26" s="51" t="s">
        <v>44</v>
      </c>
      <c r="F26" s="28" t="s">
        <v>59</v>
      </c>
      <c r="G26" s="51" t="s">
        <v>73</v>
      </c>
      <c r="H26" s="28" t="s">
        <v>80</v>
      </c>
      <c r="I26" s="51" t="s">
        <v>95</v>
      </c>
      <c r="J26" s="28">
        <v>1</v>
      </c>
      <c r="K26" s="51">
        <f t="shared" ref="K26" si="9">J26*5</f>
        <v>5</v>
      </c>
      <c r="L26" s="28"/>
    </row>
    <row r="27" spans="1:12" s="41" customFormat="1" ht="15.75" thickBot="1" x14ac:dyDescent="0.3">
      <c r="A27" s="1"/>
      <c r="B27" s="49">
        <f>ROW(B27) - ROW($B$9)</f>
        <v>18</v>
      </c>
      <c r="C27" s="40" t="s">
        <v>15</v>
      </c>
      <c r="D27" s="43" t="s">
        <v>155</v>
      </c>
      <c r="E27" s="50" t="s">
        <v>135</v>
      </c>
      <c r="F27" s="27" t="s">
        <v>59</v>
      </c>
      <c r="G27" s="50" t="s">
        <v>136</v>
      </c>
      <c r="H27" s="27" t="s">
        <v>80</v>
      </c>
      <c r="I27" s="50" t="s">
        <v>150</v>
      </c>
      <c r="J27" s="27">
        <v>3</v>
      </c>
      <c r="K27" s="50">
        <f>J27*5</f>
        <v>15</v>
      </c>
      <c r="L27" s="27"/>
    </row>
    <row r="28" spans="1:12" s="41" customFormat="1" ht="15.75" thickBot="1" x14ac:dyDescent="0.3">
      <c r="A28" s="1"/>
      <c r="B28" s="49">
        <f t="shared" si="1"/>
        <v>19</v>
      </c>
      <c r="C28" s="40" t="s">
        <v>15</v>
      </c>
      <c r="D28" s="42" t="s">
        <v>137</v>
      </c>
      <c r="E28" s="51" t="s">
        <v>45</v>
      </c>
      <c r="F28" s="28" t="s">
        <v>59</v>
      </c>
      <c r="G28" s="51" t="s">
        <v>74</v>
      </c>
      <c r="H28" s="28" t="s">
        <v>80</v>
      </c>
      <c r="I28" s="51" t="s">
        <v>96</v>
      </c>
      <c r="J28" s="28">
        <v>1</v>
      </c>
      <c r="K28" s="51">
        <f t="shared" ref="K28" si="10">J28*5</f>
        <v>5</v>
      </c>
      <c r="L28" s="28"/>
    </row>
    <row r="29" spans="1:12" s="41" customFormat="1" ht="15.75" thickBot="1" x14ac:dyDescent="0.3">
      <c r="A29" s="1"/>
      <c r="B29" s="49">
        <f>ROW(B29) - ROW($B$9)</f>
        <v>20</v>
      </c>
      <c r="C29" s="40" t="s">
        <v>15</v>
      </c>
      <c r="D29" s="43" t="s">
        <v>28</v>
      </c>
      <c r="E29" s="50" t="s">
        <v>47</v>
      </c>
      <c r="F29" s="27" t="s">
        <v>59</v>
      </c>
      <c r="G29" s="50" t="s">
        <v>76</v>
      </c>
      <c r="H29" s="27" t="s">
        <v>80</v>
      </c>
      <c r="I29" s="50" t="s">
        <v>98</v>
      </c>
      <c r="J29" s="27">
        <v>1</v>
      </c>
      <c r="K29" s="50">
        <f>J29*5</f>
        <v>5</v>
      </c>
      <c r="L29" s="27"/>
    </row>
    <row r="30" spans="1:12" s="41" customFormat="1" ht="15.75" thickBot="1" x14ac:dyDescent="0.3">
      <c r="A30" s="1"/>
      <c r="B30" s="49">
        <f t="shared" si="1"/>
        <v>21</v>
      </c>
      <c r="C30" s="40" t="s">
        <v>15</v>
      </c>
      <c r="D30" s="42" t="s">
        <v>138</v>
      </c>
      <c r="E30" s="51" t="s">
        <v>46</v>
      </c>
      <c r="F30" s="28" t="s">
        <v>59</v>
      </c>
      <c r="G30" s="51" t="s">
        <v>75</v>
      </c>
      <c r="H30" s="28" t="s">
        <v>80</v>
      </c>
      <c r="I30" s="51" t="s">
        <v>151</v>
      </c>
      <c r="J30" s="28">
        <v>1</v>
      </c>
      <c r="K30" s="51">
        <f t="shared" ref="K30" si="11">J30*5</f>
        <v>5</v>
      </c>
      <c r="L30" s="28"/>
    </row>
    <row r="31" spans="1:12" s="41" customFormat="1" ht="24.75" thickBot="1" x14ac:dyDescent="0.3">
      <c r="A31" s="1"/>
      <c r="B31" s="49">
        <f t="shared" si="1"/>
        <v>22</v>
      </c>
      <c r="C31" s="40" t="s">
        <v>140</v>
      </c>
      <c r="D31" s="42" t="s">
        <v>29</v>
      </c>
      <c r="E31" s="51" t="s">
        <v>141</v>
      </c>
      <c r="F31" s="28" t="s">
        <v>142</v>
      </c>
      <c r="G31" s="51" t="s">
        <v>142</v>
      </c>
      <c r="H31" s="28" t="s">
        <v>139</v>
      </c>
      <c r="I31" s="27" t="s">
        <v>100</v>
      </c>
      <c r="J31" s="28">
        <v>1</v>
      </c>
      <c r="K31" s="51">
        <f t="shared" ref="K31" si="12">J31*5</f>
        <v>5</v>
      </c>
      <c r="L31" s="28"/>
    </row>
    <row r="32" spans="1:12" s="41" customFormat="1" ht="36.75" thickBot="1" x14ac:dyDescent="0.3">
      <c r="A32" s="1"/>
      <c r="B32" s="49">
        <f>ROW(B32) - ROW($B$9)</f>
        <v>23</v>
      </c>
      <c r="C32" s="40" t="s">
        <v>140</v>
      </c>
      <c r="D32" s="43" t="s">
        <v>143</v>
      </c>
      <c r="E32" s="50" t="s">
        <v>144</v>
      </c>
      <c r="F32" s="27" t="s">
        <v>145</v>
      </c>
      <c r="G32" s="50" t="s">
        <v>145</v>
      </c>
      <c r="H32" s="27" t="s">
        <v>146</v>
      </c>
      <c r="I32" s="28" t="s">
        <v>100</v>
      </c>
      <c r="J32" s="27">
        <v>2</v>
      </c>
      <c r="K32" s="50">
        <f>J32*5</f>
        <v>10</v>
      </c>
      <c r="L32" s="27"/>
    </row>
    <row r="33" spans="1:12" s="41" customFormat="1" ht="36.75" thickBot="1" x14ac:dyDescent="0.3">
      <c r="A33" s="1"/>
      <c r="B33" s="49">
        <f t="shared" si="1"/>
        <v>24</v>
      </c>
      <c r="C33" s="40" t="s">
        <v>140</v>
      </c>
      <c r="D33" s="42" t="s">
        <v>147</v>
      </c>
      <c r="E33" s="51" t="s">
        <v>148</v>
      </c>
      <c r="F33" s="28" t="s">
        <v>149</v>
      </c>
      <c r="G33" s="51" t="s">
        <v>149</v>
      </c>
      <c r="H33" s="28" t="s">
        <v>87</v>
      </c>
      <c r="I33" s="27" t="s">
        <v>100</v>
      </c>
      <c r="J33" s="28">
        <v>1</v>
      </c>
      <c r="K33" s="51">
        <f t="shared" ref="K33" si="13">J33*5</f>
        <v>5</v>
      </c>
      <c r="L33" s="28"/>
    </row>
    <row r="34" spans="1:12" s="41" customFormat="1" ht="15.75" thickBot="1" x14ac:dyDescent="0.3">
      <c r="A34" s="1"/>
      <c r="B34" s="49">
        <f>ROW(B34) - ROW($B$9)</f>
        <v>25</v>
      </c>
      <c r="C34" s="40" t="s">
        <v>14</v>
      </c>
      <c r="D34" s="43" t="s">
        <v>30</v>
      </c>
      <c r="E34" s="50" t="s">
        <v>48</v>
      </c>
      <c r="F34" s="27" t="s">
        <v>60</v>
      </c>
      <c r="G34" s="50" t="s">
        <v>77</v>
      </c>
      <c r="H34" s="27" t="s">
        <v>89</v>
      </c>
      <c r="I34" s="27" t="s">
        <v>100</v>
      </c>
      <c r="J34" s="27">
        <v>1</v>
      </c>
      <c r="K34" s="50">
        <f>J34*5</f>
        <v>5</v>
      </c>
      <c r="L34" s="27"/>
    </row>
    <row r="35" spans="1:12" s="41" customFormat="1" ht="24.75" thickBot="1" x14ac:dyDescent="0.3">
      <c r="A35" s="1"/>
      <c r="B35" s="49">
        <f t="shared" si="1"/>
        <v>26</v>
      </c>
      <c r="C35" s="40" t="s">
        <v>16</v>
      </c>
      <c r="D35" s="42" t="s">
        <v>31</v>
      </c>
      <c r="E35" s="51" t="s">
        <v>49</v>
      </c>
      <c r="F35" s="28" t="s">
        <v>61</v>
      </c>
      <c r="G35" s="51" t="s">
        <v>78</v>
      </c>
      <c r="H35" s="28" t="s">
        <v>90</v>
      </c>
      <c r="I35" s="27" t="s">
        <v>100</v>
      </c>
      <c r="J35" s="28">
        <v>1</v>
      </c>
      <c r="K35" s="51">
        <f t="shared" ref="K35" si="14">J35*5</f>
        <v>5</v>
      </c>
      <c r="L35" s="28"/>
    </row>
    <row r="36" spans="1:12" s="41" customFormat="1" ht="15.75" thickBot="1" x14ac:dyDescent="0.3">
      <c r="A36" s="1"/>
      <c r="B36" s="49">
        <f>ROW(B36) - ROW($B$9)</f>
        <v>27</v>
      </c>
      <c r="C36" s="40" t="s">
        <v>17</v>
      </c>
      <c r="D36" s="43" t="s">
        <v>32</v>
      </c>
      <c r="E36" s="50" t="s">
        <v>50</v>
      </c>
      <c r="F36" s="27" t="s">
        <v>62</v>
      </c>
      <c r="G36" s="50" t="s">
        <v>62</v>
      </c>
      <c r="H36" s="27" t="s">
        <v>91</v>
      </c>
      <c r="I36" s="27" t="s">
        <v>100</v>
      </c>
      <c r="J36" s="27">
        <v>1</v>
      </c>
      <c r="K36" s="50">
        <f>J36*5</f>
        <v>5</v>
      </c>
      <c r="L36" s="27"/>
    </row>
    <row r="37" spans="1:12" s="41" customFormat="1" ht="48" x14ac:dyDescent="0.25">
      <c r="A37" s="1"/>
      <c r="B37" s="39">
        <f t="shared" ref="B37:B38" si="15">ROW(B37) - ROW($B$9)</f>
        <v>28</v>
      </c>
      <c r="C37" s="40" t="s">
        <v>108</v>
      </c>
      <c r="D37" s="27" t="s">
        <v>107</v>
      </c>
      <c r="E37" s="27" t="s">
        <v>109</v>
      </c>
      <c r="F37" s="27" t="s">
        <v>100</v>
      </c>
      <c r="G37" s="27" t="s">
        <v>100</v>
      </c>
      <c r="H37" s="27" t="s">
        <v>100</v>
      </c>
      <c r="I37" s="27" t="s">
        <v>100</v>
      </c>
      <c r="J37" s="27">
        <v>1</v>
      </c>
      <c r="K37" s="27">
        <f>J37*5</f>
        <v>5</v>
      </c>
      <c r="L37" s="27"/>
    </row>
    <row r="38" spans="1:12" s="41" customFormat="1" ht="36.75" thickBot="1" x14ac:dyDescent="0.3">
      <c r="A38" s="1"/>
      <c r="B38" s="39">
        <f t="shared" si="15"/>
        <v>29</v>
      </c>
      <c r="C38" s="40" t="s">
        <v>110</v>
      </c>
      <c r="D38" s="27" t="s">
        <v>107</v>
      </c>
      <c r="E38" s="27" t="s">
        <v>111</v>
      </c>
      <c r="F38" s="27" t="s">
        <v>100</v>
      </c>
      <c r="G38" s="27" t="s">
        <v>100</v>
      </c>
      <c r="H38" s="27" t="s">
        <v>100</v>
      </c>
      <c r="I38" s="27" t="s">
        <v>100</v>
      </c>
      <c r="J38" s="27">
        <v>1</v>
      </c>
      <c r="K38" s="27">
        <f>J38*5</f>
        <v>5</v>
      </c>
      <c r="L38" s="28"/>
    </row>
    <row r="39" spans="1:12" s="41" customFormat="1" x14ac:dyDescent="0.25">
      <c r="A39" s="1"/>
      <c r="B39" s="52"/>
      <c r="C39" s="53"/>
      <c r="D39" s="54"/>
      <c r="E39" s="55"/>
      <c r="F39" s="56"/>
      <c r="G39" s="57"/>
      <c r="H39" s="56"/>
      <c r="I39" s="57"/>
      <c r="J39" s="57"/>
      <c r="K39" s="57"/>
      <c r="L39" s="58"/>
    </row>
    <row r="40" spans="1:12" s="41" customFormat="1" ht="15.75" thickBot="1" x14ac:dyDescent="0.3">
      <c r="A40" s="1"/>
      <c r="B40" s="44"/>
      <c r="C40" s="45"/>
      <c r="D40" s="46"/>
      <c r="E40" s="47"/>
      <c r="F40" s="47"/>
      <c r="G40" s="47"/>
      <c r="H40" s="47"/>
      <c r="I40" s="47"/>
      <c r="J40" s="47"/>
      <c r="K40" s="47"/>
      <c r="L40" s="59"/>
    </row>
    <row r="41" spans="1:12" s="41" customFormat="1" x14ac:dyDescent="0.25">
      <c r="A41"/>
      <c r="B41"/>
      <c r="C41"/>
      <c r="D41"/>
      <c r="E41"/>
      <c r="F41"/>
      <c r="G41"/>
      <c r="H41"/>
      <c r="I41"/>
      <c r="J41"/>
      <c r="K41"/>
      <c r="L41"/>
    </row>
    <row r="42" spans="1:12" s="41" customFormat="1" x14ac:dyDescent="0.25">
      <c r="A42"/>
      <c r="B42"/>
      <c r="C42"/>
      <c r="D42"/>
      <c r="E42"/>
      <c r="F42"/>
      <c r="G42"/>
      <c r="H42"/>
      <c r="I42"/>
      <c r="J42"/>
      <c r="K42"/>
      <c r="L42"/>
    </row>
    <row r="43" spans="1:12" s="41" customFormat="1" x14ac:dyDescent="0.25">
      <c r="A43"/>
      <c r="B43"/>
      <c r="C43"/>
      <c r="D43"/>
      <c r="E43"/>
      <c r="F43"/>
      <c r="G43"/>
      <c r="H43"/>
      <c r="I43"/>
      <c r="J43"/>
      <c r="K43"/>
      <c r="L43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2023-09-04T13:49:42Z</dcterms:modified>
</cp:coreProperties>
</file>