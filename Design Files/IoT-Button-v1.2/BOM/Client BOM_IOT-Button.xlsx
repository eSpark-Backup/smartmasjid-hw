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1.2\BOM\"/>
    </mc:Choice>
  </mc:AlternateContent>
  <bookViews>
    <workbookView xWindow="28680" yWindow="-120" windowWidth="29040" windowHeight="15840"/>
  </bookViews>
  <sheets>
    <sheet name="5 Boards" sheetId="1" r:id="rId1"/>
    <sheet name="2 Boards" sheetId="2" r:id="rId2"/>
  </sheets>
  <calcPr calcId="162913"/>
</workbook>
</file>

<file path=xl/calcChain.xml><?xml version="1.0" encoding="utf-8"?>
<calcChain xmlns="http://schemas.openxmlformats.org/spreadsheetml/2006/main">
  <c r="L40" i="2" l="1"/>
  <c r="L41" i="2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10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40" i="1"/>
  <c r="B41" i="1"/>
  <c r="L41" i="1"/>
  <c r="L40" i="1"/>
  <c r="L39" i="1" l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<sst xmlns="http://schemas.openxmlformats.org/spreadsheetml/2006/main" count="492" uniqueCount="175">
  <si>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</si>
  <si>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</si>
  <si>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</si>
  <si>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</si>
  <si>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</si>
  <si>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</si>
  <si>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</si>
  <si>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</si>
  <si>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</si>
  <si>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</si>
  <si>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</si>
  <si>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</si>
  <si>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</si>
  <si>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</si>
  <si>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LED</t>
  </si>
  <si>
    <t>RGB LED</t>
  </si>
  <si>
    <t>Mosfet</t>
  </si>
  <si>
    <t>Resistor</t>
  </si>
  <si>
    <t>Tactile Switch</t>
  </si>
  <si>
    <t>IC</t>
  </si>
  <si>
    <t>Module</t>
  </si>
  <si>
    <t>Designator</t>
  </si>
  <si>
    <t>C1, C2, C5, C8, C10, C11, C12, C14, C15, C16, C17, C18, C20, C25, C26</t>
  </si>
  <si>
    <t>C3, C4, C7, C13, C19, C27</t>
  </si>
  <si>
    <t>C6, C9</t>
  </si>
  <si>
    <t>D1</t>
  </si>
  <si>
    <t>D3</t>
  </si>
  <si>
    <t>F1</t>
  </si>
  <si>
    <t>FB1</t>
  </si>
  <si>
    <t>J1</t>
  </si>
  <si>
    <t>J2</t>
  </si>
  <si>
    <t>J3</t>
  </si>
  <si>
    <t>LED1</t>
  </si>
  <si>
    <t>LED2</t>
  </si>
  <si>
    <t>LED3</t>
  </si>
  <si>
    <t>LED4, LED5, LED6, LED7, LED8, LED9</t>
  </si>
  <si>
    <t>Q1</t>
  </si>
  <si>
    <t>Q2</t>
  </si>
  <si>
    <t>R1, R4, R6, R8, R10, R13, R14</t>
  </si>
  <si>
    <t>R2</t>
  </si>
  <si>
    <t>R3</t>
  </si>
  <si>
    <t>R5, R12</t>
  </si>
  <si>
    <t>R7</t>
  </si>
  <si>
    <t>R9</t>
  </si>
  <si>
    <t>R11</t>
  </si>
  <si>
    <t>R15</t>
  </si>
  <si>
    <t>SW1</t>
  </si>
  <si>
    <t>SW2, SW5</t>
  </si>
  <si>
    <t>SW3</t>
  </si>
  <si>
    <t>U1</t>
  </si>
  <si>
    <t>U3</t>
  </si>
  <si>
    <t>U6</t>
  </si>
  <si>
    <t>Description</t>
  </si>
  <si>
    <t>CAP CER 0.1UF 25V X5R 0402</t>
  </si>
  <si>
    <t>CAP CER 1UF 25V X5R 0603</t>
  </si>
  <si>
    <t>CAP CER 10UF 16V X5R 0603</t>
  </si>
  <si>
    <t>TVS DIODE 5VWM 6.3VC DSN0603-2</t>
  </si>
  <si>
    <t>DIODE SCHOTTKY 20V 1A SOD123FL</t>
  </si>
  <si>
    <t>6V 2A 50A 1W -40℃~+85℃ 4A 4mΩ 5s 45mΩ 0805 Resettable Fuses ROHS</t>
  </si>
  <si>
    <t>FERRITE BEAD 120 OHM 0603 1LN</t>
  </si>
  <si>
    <t>DC Power Receptacle 260℃ Brass -20℃~+70℃ 2.5mm 6mm 2.5A 24V Plugin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</si>
  <si>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</si>
  <si>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</si>
  <si>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Emerald 0603 Light Emitting Diodes (LED) ROHS</t>
  </si>
  <si>
    <t>0603 Light Emitting Diodes (LED) ROHS</t>
  </si>
  <si>
    <t>White light 0603 Light Emitting Diodes (LED) ROHS</t>
  </si>
  <si>
    <t>SMD5050 Light Emitting Diodes (LED) ROHS</t>
  </si>
  <si>
    <t>N-CHANNEL 20-V (D-S) MOSFET</t>
  </si>
  <si>
    <t>Trans Mosfet P-ch 30V 4A 3-PIN SOT-23 T/r</t>
  </si>
  <si>
    <t>RES SMD 10K Ohm 1% 1/10W 0603</t>
  </si>
  <si>
    <t>RES SMD 220 OHM 1% 1/10W 0603</t>
  </si>
  <si>
    <t>RES 56K OHM 1% 1/16W 0402</t>
  </si>
  <si>
    <t>RES 100K OHM 5% 1/10W 0603</t>
  </si>
  <si>
    <t>RES  SMD 330R 100 mW 0603</t>
  </si>
  <si>
    <t>RES SMD 51R 100mW 0603</t>
  </si>
  <si>
    <t>RES SMD 1K OHM 1% 1/10W 0603</t>
  </si>
  <si>
    <t>50mA Lying SPST 24V Plugin Tactile Switches ROHS</t>
  </si>
  <si>
    <t>50mA Brick nogging SPST 100MΩ 1000000 times 250gf@±30gf 12V SMD Tactile Switches ROHS</t>
  </si>
  <si>
    <t>No NO 50mA 100MΩ 100000 Times 12V 130gf@±30gf Brick nogging SPST SMD Tactile Switches ROHS</t>
  </si>
  <si>
    <t>ESOP-8 Battery Management ICs ROHS</t>
  </si>
  <si>
    <t>500-MA, LOW-NOISE, LOW-IQ, HIGH</t>
  </si>
  <si>
    <t>SMD MODULE W/PCB ANT ESP-U4WDH</t>
  </si>
  <si>
    <t>Footprint</t>
  </si>
  <si>
    <t>Cap-0402</t>
  </si>
  <si>
    <t>Cap-0603</t>
  </si>
  <si>
    <t>DSN0603-2</t>
  </si>
  <si>
    <t>SOD-123</t>
  </si>
  <si>
    <t>Fuse-0805</t>
  </si>
  <si>
    <t>IND-0603 (1608 Metric)</t>
  </si>
  <si>
    <t>DC-0360-2.5</t>
  </si>
  <si>
    <t>1.25-2PWB</t>
  </si>
  <si>
    <t>LED-0603</t>
  </si>
  <si>
    <t>WS2812B-XF02/W</t>
  </si>
  <si>
    <t>Sot-23</t>
  </si>
  <si>
    <t>SOT-23</t>
  </si>
  <si>
    <t>Res-0603</t>
  </si>
  <si>
    <t>Res-0402</t>
  </si>
  <si>
    <t>1825027-8</t>
  </si>
  <si>
    <t>K2-6639SP-C4SC-04</t>
  </si>
  <si>
    <t>GT-TC074E-H080-L1</t>
  </si>
  <si>
    <t>ESOP-8</t>
  </si>
  <si>
    <t>4-WCSP (0.63x0.63)</t>
  </si>
  <si>
    <t>ESP32-MINI-1-N4</t>
  </si>
  <si>
    <t>Manufacturer Part Number</t>
  </si>
  <si>
    <t>CC0402KRX5R8BB104</t>
  </si>
  <si>
    <t>CC0603KRX5R8BB105</t>
  </si>
  <si>
    <t>CC0603KRX5R7BB106</t>
  </si>
  <si>
    <t>PESD5V0H1BSFYL</t>
  </si>
  <si>
    <t>MBR120VLSFT3G</t>
  </si>
  <si>
    <t>BSMD0805L-200</t>
  </si>
  <si>
    <t>BLM18SG121TN1D</t>
  </si>
  <si>
    <t>C145963</t>
  </si>
  <si>
    <t>NCD0603G2</t>
  </si>
  <si>
    <t>NCD0603R3</t>
  </si>
  <si>
    <t>NCD0603W3</t>
  </si>
  <si>
    <t>SI2302CDS</t>
  </si>
  <si>
    <t>AO3401A</t>
  </si>
  <si>
    <t>RC0603FR-0710KL</t>
  </si>
  <si>
    <t>RC0603FR-07220RL</t>
  </si>
  <si>
    <t>RC0402FR-0756KL</t>
  </si>
  <si>
    <t>RC0603JR-07100KL</t>
  </si>
  <si>
    <t>RC0603JR-07330RL</t>
  </si>
  <si>
    <t>RC0603FR-0751RL</t>
  </si>
  <si>
    <t>RC0603FR-071KL</t>
  </si>
  <si>
    <t>TP4056-42-ESOP8</t>
  </si>
  <si>
    <t>TPS7A2133PYWDJ</t>
  </si>
  <si>
    <t>Manufacturer</t>
  </si>
  <si>
    <t>Yageo</t>
  </si>
  <si>
    <t>Nexperia</t>
  </si>
  <si>
    <t>ON Semiconductor</t>
  </si>
  <si>
    <t>BHFUSE</t>
  </si>
  <si>
    <t>Murata</t>
  </si>
  <si>
    <t>XKB Connectivity</t>
  </si>
  <si>
    <t>DEALON</t>
  </si>
  <si>
    <t>BOOMELE</t>
  </si>
  <si>
    <t>Foshan NationStar Optoelectronics</t>
  </si>
  <si>
    <t>Worldsemi</t>
  </si>
  <si>
    <t>TECH PUBLIC</t>
  </si>
  <si>
    <t>Alpha &amp; Omega Semiconductor</t>
  </si>
  <si>
    <t>TE Connectivity</t>
  </si>
  <si>
    <t>Korean Hroparts Elec</t>
  </si>
  <si>
    <t>G-Switch</t>
  </si>
  <si>
    <t>TOPPOWER</t>
  </si>
  <si>
    <t>Texas Instruments</t>
  </si>
  <si>
    <t>Espressif Systems</t>
  </si>
  <si>
    <t>100nF</t>
  </si>
  <si>
    <t>1uF</t>
  </si>
  <si>
    <t>10uF</t>
  </si>
  <si>
    <t>10K</t>
  </si>
  <si>
    <t>220R</t>
  </si>
  <si>
    <t>56k</t>
  </si>
  <si>
    <t>100K</t>
  </si>
  <si>
    <t>330R</t>
  </si>
  <si>
    <t>51R</t>
  </si>
  <si>
    <t>DNP</t>
  </si>
  <si>
    <t>1K</t>
  </si>
  <si>
    <t>Quantity</t>
  </si>
  <si>
    <t>Bill of Materials for Project [IoT-Button]</t>
  </si>
  <si>
    <t>IoT-Button</t>
  </si>
  <si>
    <t>Custom</t>
  </si>
  <si>
    <t>-</t>
  </si>
  <si>
    <t>--</t>
  </si>
  <si>
    <t>Value</t>
  </si>
  <si>
    <t>Quantity (5 Boards)</t>
  </si>
  <si>
    <t>Remarks</t>
  </si>
  <si>
    <t>Battery</t>
  </si>
  <si>
    <t>Peripheral</t>
  </si>
  <si>
    <t>104050 3.7V 2600mAh Li-polymer Battery For GPS MP3 Bluetooth Headset Power Bank Rechargeable Lithium Batteria</t>
  </si>
  <si>
    <t>Adaptor</t>
  </si>
  <si>
    <t>5V2A New AC 100V-240V Converter Adapter DC 5V 2A 2000mA Power Supply EU Plug DC 5.5mm x 2.1mm</t>
  </si>
  <si>
    <t>Quantity (2 Boards)</t>
  </si>
  <si>
    <t>Link</t>
  </si>
  <si>
    <t>3.7V 250mAh 402035 JST 1.25mm lithium polymer li ion rechargeable battery Lipo cells for MP3 MP4 GPS bluetooth headset video pen</t>
  </si>
  <si>
    <t>Aliexpress</t>
  </si>
  <si>
    <t>Black universal American Canada Japan power charger 100-240V US AC to DC 5.5*2.5mm power adapter 1A 3V/5V/6V/7V/9V/12V 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</si>
</sst>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7" fillId="2" borderId="5" xfId="0" quotePrefix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9" fillId="2" borderId="1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3745895927.html" TargetMode="External"/><Relationship Id="rId1" Type="http://schemas.openxmlformats.org/officeDocument/2006/relationships/hyperlink" Target="https://vi.aliexpress.com/item/32840666810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vi.aliexpress.com/item/1005003745895927.html" TargetMode="External"/><Relationship Id="rId1" Type="http://schemas.openxmlformats.org/officeDocument/2006/relationships/hyperlink" Target="https://vi.aliexpress.com/item/328406668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3"/>
  <sheetViews>
    <sheetView tabSelected="1" topLeftCell="A31" workbookViewId="0">
      <selection activeCell="E53" sqref="E5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3" customWidth="1"/>
    <col min="6" max="6" width="26.28515625" customWidth="1"/>
    <col min="7" max="7" width="25.28515625" bestFit="1" customWidth="1"/>
    <col min="8" max="8" width="17.42578125" bestFit="1" customWidth="1"/>
    <col min="9" max="9" width="6.140625" bestFit="1" customWidth="1"/>
    <col min="10" max="10" width="6.140625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0"/>
      <c r="J1" s="60"/>
      <c r="K1" s="60"/>
      <c r="L1" s="60"/>
      <c r="M1" s="60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157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158</v>
      </c>
      <c r="G3" s="12"/>
      <c r="H3" s="4"/>
      <c r="I3" s="4"/>
      <c r="J3" s="4"/>
      <c r="K3" s="4"/>
      <c r="L3" s="4"/>
      <c r="M3" s="61"/>
    </row>
    <row r="4" spans="1:13" x14ac:dyDescent="0.25">
      <c r="A4" s="1"/>
      <c r="B4" s="21"/>
      <c r="C4" s="44"/>
      <c r="D4" s="12" t="s">
        <v>2</v>
      </c>
      <c r="E4" s="12"/>
      <c r="F4" s="54" t="s">
        <v>158</v>
      </c>
      <c r="G4" s="13"/>
      <c r="H4" s="6"/>
      <c r="I4" s="6"/>
      <c r="J4" s="6"/>
      <c r="K4" s="6"/>
      <c r="L4" s="6"/>
      <c r="M4" s="62"/>
    </row>
    <row r="5" spans="1:13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5"/>
      <c r="M5" s="62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62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2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2"/>
    </row>
    <row r="9" spans="1:13" ht="15.75" thickBot="1" x14ac:dyDescent="0.3">
      <c r="A9" s="1"/>
      <c r="B9" s="29" t="s">
        <v>4</v>
      </c>
      <c r="C9" s="29" t="s">
        <v>6</v>
      </c>
      <c r="D9" s="29" t="s">
        <v>21</v>
      </c>
      <c r="E9" s="30" t="s">
        <v>52</v>
      </c>
      <c r="F9" s="29" t="s">
        <v>82</v>
      </c>
      <c r="G9" s="30" t="s">
        <v>103</v>
      </c>
      <c r="H9" s="29" t="s">
        <v>126</v>
      </c>
      <c r="I9" s="30" t="s">
        <v>162</v>
      </c>
      <c r="J9" s="29" t="s">
        <v>171</v>
      </c>
      <c r="K9" s="29" t="s">
        <v>156</v>
      </c>
      <c r="L9" s="51" t="s">
        <v>163</v>
      </c>
      <c r="M9" s="29" t="s">
        <v>164</v>
      </c>
    </row>
    <row r="10" spans="1:13" ht="24.75" thickBot="1" x14ac:dyDescent="0.3">
      <c r="A10" s="1"/>
      <c r="B10" s="50">
        <f>ROW(B10) - ROW($B$9)</f>
        <v>1</v>
      </c>
      <c r="C10" s="56" t="s">
        <v>7</v>
      </c>
      <c r="D10" s="36" t="s">
        <v>22</v>
      </c>
      <c r="E10" s="37" t="s">
        <v>53</v>
      </c>
      <c r="F10" s="36" t="s">
        <v>83</v>
      </c>
      <c r="G10" s="37" t="s">
        <v>104</v>
      </c>
      <c r="H10" s="36" t="s">
        <v>127</v>
      </c>
      <c r="I10" s="37" t="s">
        <v>145</v>
      </c>
      <c r="J10" s="36"/>
      <c r="K10" s="36">
        <v>15</v>
      </c>
      <c r="L10" s="37">
        <f>K10*5</f>
        <v>75</v>
      </c>
      <c r="M10" s="36"/>
    </row>
    <row r="11" spans="1:13" ht="15.75" thickBot="1" x14ac:dyDescent="0.3">
      <c r="A11" s="1"/>
      <c r="B11" s="50">
        <f t="shared" ref="B11:B41" si="0">ROW(B11) - ROW($B$9)</f>
        <v>2</v>
      </c>
      <c r="C11" s="56" t="s">
        <v>7</v>
      </c>
      <c r="D11" s="38" t="s">
        <v>23</v>
      </c>
      <c r="E11" s="39" t="s">
        <v>54</v>
      </c>
      <c r="F11" s="38" t="s">
        <v>84</v>
      </c>
      <c r="G11" s="39" t="s">
        <v>105</v>
      </c>
      <c r="H11" s="38" t="s">
        <v>127</v>
      </c>
      <c r="I11" s="39" t="s">
        <v>146</v>
      </c>
      <c r="J11" s="38"/>
      <c r="K11" s="38">
        <v>6</v>
      </c>
      <c r="L11" s="39">
        <f t="shared" ref="L11" si="1">K11*5</f>
        <v>30</v>
      </c>
      <c r="M11" s="38"/>
    </row>
    <row r="12" spans="1:13" ht="15.75" thickBot="1" x14ac:dyDescent="0.3">
      <c r="A12" s="1"/>
      <c r="B12" s="50">
        <f>ROW(B12) - ROW($B$9)</f>
        <v>3</v>
      </c>
      <c r="C12" s="56" t="s">
        <v>7</v>
      </c>
      <c r="D12" s="36" t="s">
        <v>24</v>
      </c>
      <c r="E12" s="37" t="s">
        <v>55</v>
      </c>
      <c r="F12" s="36" t="s">
        <v>84</v>
      </c>
      <c r="G12" s="37" t="s">
        <v>106</v>
      </c>
      <c r="H12" s="36" t="s">
        <v>127</v>
      </c>
      <c r="I12" s="37" t="s">
        <v>147</v>
      </c>
      <c r="J12" s="36"/>
      <c r="K12" s="36">
        <v>2</v>
      </c>
      <c r="L12" s="37">
        <f>K12*5</f>
        <v>10</v>
      </c>
      <c r="M12" s="36"/>
    </row>
    <row r="13" spans="1:13" ht="15.75" thickBot="1" x14ac:dyDescent="0.3">
      <c r="A13" s="1"/>
      <c r="B13" s="50">
        <f t="shared" si="0"/>
        <v>4</v>
      </c>
      <c r="C13" s="56" t="s">
        <v>8</v>
      </c>
      <c r="D13" s="38" t="s">
        <v>25</v>
      </c>
      <c r="E13" s="39" t="s">
        <v>56</v>
      </c>
      <c r="F13" s="38" t="s">
        <v>85</v>
      </c>
      <c r="G13" s="39" t="s">
        <v>107</v>
      </c>
      <c r="H13" s="38" t="s">
        <v>128</v>
      </c>
      <c r="I13" s="39" t="s">
        <v>160</v>
      </c>
      <c r="J13" s="38"/>
      <c r="K13" s="38">
        <v>1</v>
      </c>
      <c r="L13" s="39">
        <f t="shared" ref="L13" si="2">K13*5</f>
        <v>5</v>
      </c>
      <c r="M13" s="38"/>
    </row>
    <row r="14" spans="1:13" ht="15.75" thickBot="1" x14ac:dyDescent="0.3">
      <c r="A14" s="1"/>
      <c r="B14" s="50">
        <f>ROW(B14) - ROW($B$9)</f>
        <v>5</v>
      </c>
      <c r="C14" s="56" t="s">
        <v>8</v>
      </c>
      <c r="D14" s="36" t="s">
        <v>26</v>
      </c>
      <c r="E14" s="37" t="s">
        <v>57</v>
      </c>
      <c r="F14" s="36" t="s">
        <v>86</v>
      </c>
      <c r="G14" s="37" t="s">
        <v>108</v>
      </c>
      <c r="H14" s="36" t="s">
        <v>129</v>
      </c>
      <c r="I14" s="37" t="s">
        <v>160</v>
      </c>
      <c r="J14" s="36"/>
      <c r="K14" s="36">
        <v>1</v>
      </c>
      <c r="L14" s="37">
        <f>K14*5</f>
        <v>5</v>
      </c>
      <c r="M14" s="36"/>
    </row>
    <row r="15" spans="1:13" ht="24.75" thickBot="1" x14ac:dyDescent="0.3">
      <c r="A15" s="1"/>
      <c r="B15" s="50">
        <f t="shared" si="0"/>
        <v>6</v>
      </c>
      <c r="C15" s="56" t="s">
        <v>9</v>
      </c>
      <c r="D15" s="38" t="s">
        <v>27</v>
      </c>
      <c r="E15" s="39" t="s">
        <v>58</v>
      </c>
      <c r="F15" s="38" t="s">
        <v>87</v>
      </c>
      <c r="G15" s="39" t="s">
        <v>109</v>
      </c>
      <c r="H15" s="38" t="s">
        <v>130</v>
      </c>
      <c r="I15" s="39" t="s">
        <v>160</v>
      </c>
      <c r="J15" s="38"/>
      <c r="K15" s="38">
        <v>1</v>
      </c>
      <c r="L15" s="39">
        <f t="shared" ref="L15" si="3">K15*5</f>
        <v>5</v>
      </c>
      <c r="M15" s="38"/>
    </row>
    <row r="16" spans="1:13" ht="15.75" thickBot="1" x14ac:dyDescent="0.3">
      <c r="A16" s="1"/>
      <c r="B16" s="50">
        <f>ROW(B16) - ROW($B$9)</f>
        <v>7</v>
      </c>
      <c r="C16" s="56" t="s">
        <v>10</v>
      </c>
      <c r="D16" s="36" t="s">
        <v>28</v>
      </c>
      <c r="E16" s="37" t="s">
        <v>59</v>
      </c>
      <c r="F16" s="36" t="s">
        <v>88</v>
      </c>
      <c r="G16" s="37" t="s">
        <v>110</v>
      </c>
      <c r="H16" s="36" t="s">
        <v>131</v>
      </c>
      <c r="I16" s="37" t="s">
        <v>160</v>
      </c>
      <c r="J16" s="36"/>
      <c r="K16" s="36">
        <v>1</v>
      </c>
      <c r="L16" s="37">
        <f>K16*5</f>
        <v>5</v>
      </c>
      <c r="M16" s="36"/>
    </row>
    <row r="17" spans="1:13" ht="36.75" thickBot="1" x14ac:dyDescent="0.3">
      <c r="A17" s="1"/>
      <c r="B17" s="50">
        <f t="shared" si="0"/>
        <v>8</v>
      </c>
      <c r="C17" s="56" t="s">
        <v>11</v>
      </c>
      <c r="D17" s="38" t="s">
        <v>29</v>
      </c>
      <c r="E17" s="39" t="s">
        <v>60</v>
      </c>
      <c r="F17" s="38" t="s">
        <v>159</v>
      </c>
      <c r="G17" s="39" t="s">
        <v>89</v>
      </c>
      <c r="H17" s="38" t="s">
        <v>132</v>
      </c>
      <c r="I17" s="39" t="s">
        <v>160</v>
      </c>
      <c r="J17" s="38"/>
      <c r="K17" s="38">
        <v>1</v>
      </c>
      <c r="L17" s="39">
        <f t="shared" ref="L17" si="4">K17*5</f>
        <v>5</v>
      </c>
      <c r="M17" s="38"/>
    </row>
    <row r="18" spans="1:13" ht="36.75" thickBot="1" x14ac:dyDescent="0.3">
      <c r="A18" s="1"/>
      <c r="B18" s="50">
        <f>ROW(B18) - ROW($B$9)</f>
        <v>9</v>
      </c>
      <c r="C18" s="56" t="s">
        <v>12</v>
      </c>
      <c r="D18" s="36" t="s">
        <v>30</v>
      </c>
      <c r="E18" s="37" t="s">
        <v>61</v>
      </c>
      <c r="F18" s="38" t="s">
        <v>159</v>
      </c>
      <c r="G18" s="37" t="s">
        <v>90</v>
      </c>
      <c r="H18" s="36" t="s">
        <v>133</v>
      </c>
      <c r="I18" s="37" t="s">
        <v>160</v>
      </c>
      <c r="J18" s="36"/>
      <c r="K18" s="36">
        <v>1</v>
      </c>
      <c r="L18" s="37">
        <f>K18*5</f>
        <v>5</v>
      </c>
      <c r="M18" s="36"/>
    </row>
    <row r="19" spans="1:13" ht="24.75" thickBot="1" x14ac:dyDescent="0.3">
      <c r="A19" s="1"/>
      <c r="B19" s="50">
        <f t="shared" si="0"/>
        <v>10</v>
      </c>
      <c r="C19" s="56" t="s">
        <v>13</v>
      </c>
      <c r="D19" s="38" t="s">
        <v>31</v>
      </c>
      <c r="E19" s="39" t="s">
        <v>62</v>
      </c>
      <c r="F19" s="38" t="s">
        <v>159</v>
      </c>
      <c r="G19" s="39" t="s">
        <v>111</v>
      </c>
      <c r="H19" s="38" t="s">
        <v>134</v>
      </c>
      <c r="I19" s="39" t="s">
        <v>160</v>
      </c>
      <c r="J19" s="38"/>
      <c r="K19" s="38">
        <v>1</v>
      </c>
      <c r="L19" s="39">
        <f t="shared" ref="L19" si="5">K19*5</f>
        <v>5</v>
      </c>
      <c r="M19" s="38"/>
    </row>
    <row r="20" spans="1:13" ht="24.75" thickBot="1" x14ac:dyDescent="0.3">
      <c r="A20" s="1"/>
      <c r="B20" s="50">
        <f>ROW(B20) - ROW($B$9)</f>
        <v>11</v>
      </c>
      <c r="C20" s="56" t="s">
        <v>14</v>
      </c>
      <c r="D20" s="36" t="s">
        <v>32</v>
      </c>
      <c r="E20" s="37" t="s">
        <v>63</v>
      </c>
      <c r="F20" s="36" t="s">
        <v>91</v>
      </c>
      <c r="G20" s="37" t="s">
        <v>112</v>
      </c>
      <c r="H20" s="36" t="s">
        <v>135</v>
      </c>
      <c r="I20" s="57" t="s">
        <v>161</v>
      </c>
      <c r="J20" s="36"/>
      <c r="K20" s="36">
        <v>1</v>
      </c>
      <c r="L20" s="37">
        <f>K20*5</f>
        <v>5</v>
      </c>
      <c r="M20" s="36"/>
    </row>
    <row r="21" spans="1:13" ht="24.75" thickBot="1" x14ac:dyDescent="0.3">
      <c r="A21" s="1"/>
      <c r="B21" s="50">
        <f t="shared" si="0"/>
        <v>12</v>
      </c>
      <c r="C21" s="56" t="s">
        <v>14</v>
      </c>
      <c r="D21" s="38" t="s">
        <v>33</v>
      </c>
      <c r="E21" s="39" t="s">
        <v>64</v>
      </c>
      <c r="F21" s="38" t="s">
        <v>91</v>
      </c>
      <c r="G21" s="39" t="s">
        <v>113</v>
      </c>
      <c r="H21" s="38" t="s">
        <v>135</v>
      </c>
      <c r="I21" s="39" t="s">
        <v>160</v>
      </c>
      <c r="J21" s="38"/>
      <c r="K21" s="38">
        <v>1</v>
      </c>
      <c r="L21" s="39">
        <f t="shared" ref="L21" si="6">K21*5</f>
        <v>5</v>
      </c>
      <c r="M21" s="38"/>
    </row>
    <row r="22" spans="1:13" ht="24.75" thickBot="1" x14ac:dyDescent="0.3">
      <c r="A22" s="1"/>
      <c r="B22" s="50">
        <f>ROW(B22) - ROW($B$9)</f>
        <v>13</v>
      </c>
      <c r="C22" s="56" t="s">
        <v>14</v>
      </c>
      <c r="D22" s="36" t="s">
        <v>34</v>
      </c>
      <c r="E22" s="37" t="s">
        <v>65</v>
      </c>
      <c r="F22" s="36" t="s">
        <v>91</v>
      </c>
      <c r="G22" s="37" t="s">
        <v>114</v>
      </c>
      <c r="H22" s="36" t="s">
        <v>135</v>
      </c>
      <c r="I22" s="37" t="s">
        <v>160</v>
      </c>
      <c r="J22" s="36"/>
      <c r="K22" s="36">
        <v>1</v>
      </c>
      <c r="L22" s="37">
        <f>K22*5</f>
        <v>5</v>
      </c>
      <c r="M22" s="36"/>
    </row>
    <row r="23" spans="1:13" ht="24.75" thickBot="1" x14ac:dyDescent="0.3">
      <c r="A23" s="1"/>
      <c r="B23" s="50">
        <f t="shared" si="0"/>
        <v>14</v>
      </c>
      <c r="C23" s="56" t="s">
        <v>15</v>
      </c>
      <c r="D23" s="38" t="s">
        <v>35</v>
      </c>
      <c r="E23" s="39" t="s">
        <v>66</v>
      </c>
      <c r="F23" s="38" t="s">
        <v>159</v>
      </c>
      <c r="G23" s="39" t="s">
        <v>92</v>
      </c>
      <c r="H23" s="38" t="s">
        <v>136</v>
      </c>
      <c r="I23" s="39" t="s">
        <v>160</v>
      </c>
      <c r="J23" s="38"/>
      <c r="K23" s="38">
        <v>6</v>
      </c>
      <c r="L23" s="39">
        <f t="shared" ref="L23" si="7">K23*5</f>
        <v>30</v>
      </c>
      <c r="M23" s="38"/>
    </row>
    <row r="24" spans="1:13" ht="15.75" thickBot="1" x14ac:dyDescent="0.3">
      <c r="A24" s="1"/>
      <c r="B24" s="50">
        <f>ROW(B24) - ROW($B$9)</f>
        <v>15</v>
      </c>
      <c r="C24" s="56" t="s">
        <v>16</v>
      </c>
      <c r="D24" s="36" t="s">
        <v>36</v>
      </c>
      <c r="E24" s="37" t="s">
        <v>67</v>
      </c>
      <c r="F24" s="36" t="s">
        <v>93</v>
      </c>
      <c r="G24" s="37" t="s">
        <v>115</v>
      </c>
      <c r="H24" s="36" t="s">
        <v>137</v>
      </c>
      <c r="I24" s="37" t="s">
        <v>160</v>
      </c>
      <c r="J24" s="36"/>
      <c r="K24" s="36">
        <v>1</v>
      </c>
      <c r="L24" s="37">
        <f>K24*5</f>
        <v>5</v>
      </c>
      <c r="M24" s="36"/>
    </row>
    <row r="25" spans="1:13" ht="24.75" thickBot="1" x14ac:dyDescent="0.3">
      <c r="A25" s="1"/>
      <c r="B25" s="50">
        <f t="shared" si="0"/>
        <v>16</v>
      </c>
      <c r="C25" s="56" t="s">
        <v>16</v>
      </c>
      <c r="D25" s="38" t="s">
        <v>37</v>
      </c>
      <c r="E25" s="39" t="s">
        <v>68</v>
      </c>
      <c r="F25" s="38" t="s">
        <v>94</v>
      </c>
      <c r="G25" s="39" t="s">
        <v>116</v>
      </c>
      <c r="H25" s="38" t="s">
        <v>138</v>
      </c>
      <c r="I25" s="39" t="s">
        <v>160</v>
      </c>
      <c r="J25" s="38"/>
      <c r="K25" s="38">
        <v>1</v>
      </c>
      <c r="L25" s="39">
        <f t="shared" ref="L25" si="8">K25*5</f>
        <v>5</v>
      </c>
      <c r="M25" s="38"/>
    </row>
    <row r="26" spans="1:13" ht="15.75" thickBot="1" x14ac:dyDescent="0.3">
      <c r="A26" s="1"/>
      <c r="B26" s="50">
        <f>ROW(B26) - ROW($B$9)</f>
        <v>17</v>
      </c>
      <c r="C26" s="56" t="s">
        <v>17</v>
      </c>
      <c r="D26" s="36" t="s">
        <v>38</v>
      </c>
      <c r="E26" s="37" t="s">
        <v>69</v>
      </c>
      <c r="F26" s="36" t="s">
        <v>95</v>
      </c>
      <c r="G26" s="37" t="s">
        <v>117</v>
      </c>
      <c r="H26" s="36" t="s">
        <v>127</v>
      </c>
      <c r="I26" s="37" t="s">
        <v>148</v>
      </c>
      <c r="J26" s="36"/>
      <c r="K26" s="36">
        <v>7</v>
      </c>
      <c r="L26" s="37">
        <f>K26*5</f>
        <v>35</v>
      </c>
      <c r="M26" s="36"/>
    </row>
    <row r="27" spans="1:13" ht="15.75" thickBot="1" x14ac:dyDescent="0.3">
      <c r="A27" s="1"/>
      <c r="B27" s="50">
        <f t="shared" si="0"/>
        <v>18</v>
      </c>
      <c r="C27" s="56" t="s">
        <v>17</v>
      </c>
      <c r="D27" s="38" t="s">
        <v>39</v>
      </c>
      <c r="E27" s="39" t="s">
        <v>70</v>
      </c>
      <c r="F27" s="38" t="s">
        <v>95</v>
      </c>
      <c r="G27" s="39" t="s">
        <v>118</v>
      </c>
      <c r="H27" s="38" t="s">
        <v>127</v>
      </c>
      <c r="I27" s="39" t="s">
        <v>149</v>
      </c>
      <c r="J27" s="38"/>
      <c r="K27" s="38">
        <v>1</v>
      </c>
      <c r="L27" s="39">
        <f t="shared" ref="L27" si="9">K27*5</f>
        <v>5</v>
      </c>
      <c r="M27" s="38"/>
    </row>
    <row r="28" spans="1:13" ht="15.75" thickBot="1" x14ac:dyDescent="0.3">
      <c r="A28" s="1"/>
      <c r="B28" s="50">
        <f>ROW(B28) - ROW($B$9)</f>
        <v>19</v>
      </c>
      <c r="C28" s="56" t="s">
        <v>17</v>
      </c>
      <c r="D28" s="36" t="s">
        <v>40</v>
      </c>
      <c r="E28" s="37" t="s">
        <v>71</v>
      </c>
      <c r="F28" s="36" t="s">
        <v>96</v>
      </c>
      <c r="G28" s="37" t="s">
        <v>119</v>
      </c>
      <c r="H28" s="36" t="s">
        <v>127</v>
      </c>
      <c r="I28" s="37" t="s">
        <v>150</v>
      </c>
      <c r="J28" s="36"/>
      <c r="K28" s="36">
        <v>1</v>
      </c>
      <c r="L28" s="37">
        <f>K28*5</f>
        <v>5</v>
      </c>
      <c r="M28" s="36"/>
    </row>
    <row r="29" spans="1:13" ht="15.75" thickBot="1" x14ac:dyDescent="0.3">
      <c r="A29" s="1"/>
      <c r="B29" s="50">
        <f t="shared" si="0"/>
        <v>20</v>
      </c>
      <c r="C29" s="56" t="s">
        <v>17</v>
      </c>
      <c r="D29" s="38" t="s">
        <v>41</v>
      </c>
      <c r="E29" s="39" t="s">
        <v>72</v>
      </c>
      <c r="F29" s="38" t="s">
        <v>95</v>
      </c>
      <c r="G29" s="39" t="s">
        <v>120</v>
      </c>
      <c r="H29" s="38" t="s">
        <v>127</v>
      </c>
      <c r="I29" s="39" t="s">
        <v>151</v>
      </c>
      <c r="J29" s="38"/>
      <c r="K29" s="38">
        <v>2</v>
      </c>
      <c r="L29" s="39">
        <f t="shared" ref="L29" si="10">K29*5</f>
        <v>10</v>
      </c>
      <c r="M29" s="38"/>
    </row>
    <row r="30" spans="1:13" ht="15.75" thickBot="1" x14ac:dyDescent="0.3">
      <c r="A30" s="1"/>
      <c r="B30" s="50">
        <f>ROW(B30) - ROW($B$9)</f>
        <v>21</v>
      </c>
      <c r="C30" s="56" t="s">
        <v>17</v>
      </c>
      <c r="D30" s="36" t="s">
        <v>42</v>
      </c>
      <c r="E30" s="37" t="s">
        <v>73</v>
      </c>
      <c r="F30" s="36" t="s">
        <v>95</v>
      </c>
      <c r="G30" s="37" t="s">
        <v>121</v>
      </c>
      <c r="H30" s="36" t="s">
        <v>127</v>
      </c>
      <c r="I30" s="37" t="s">
        <v>152</v>
      </c>
      <c r="J30" s="36"/>
      <c r="K30" s="36">
        <v>1</v>
      </c>
      <c r="L30" s="37">
        <f>K30*5</f>
        <v>5</v>
      </c>
      <c r="M30" s="36"/>
    </row>
    <row r="31" spans="1:13" ht="15.75" thickBot="1" x14ac:dyDescent="0.3">
      <c r="A31" s="1"/>
      <c r="B31" s="50">
        <f t="shared" si="0"/>
        <v>22</v>
      </c>
      <c r="C31" s="56" t="s">
        <v>17</v>
      </c>
      <c r="D31" s="38" t="s">
        <v>43</v>
      </c>
      <c r="E31" s="39" t="s">
        <v>74</v>
      </c>
      <c r="F31" s="38" t="s">
        <v>95</v>
      </c>
      <c r="G31" s="39" t="s">
        <v>122</v>
      </c>
      <c r="H31" s="38" t="s">
        <v>127</v>
      </c>
      <c r="I31" s="39" t="s">
        <v>153</v>
      </c>
      <c r="J31" s="38"/>
      <c r="K31" s="38">
        <v>1</v>
      </c>
      <c r="L31" s="39">
        <f t="shared" ref="L31" si="11">K31*5</f>
        <v>5</v>
      </c>
      <c r="M31" s="38"/>
    </row>
    <row r="32" spans="1:13" ht="15.75" thickBot="1" x14ac:dyDescent="0.3">
      <c r="A32" s="1"/>
      <c r="B32" s="50">
        <f>ROW(B32) - ROW($B$9)</f>
        <v>23</v>
      </c>
      <c r="C32" s="56" t="s">
        <v>17</v>
      </c>
      <c r="D32" s="36" t="s">
        <v>44</v>
      </c>
      <c r="E32" s="37" t="s">
        <v>69</v>
      </c>
      <c r="F32" s="36" t="s">
        <v>95</v>
      </c>
      <c r="G32" s="37" t="s">
        <v>117</v>
      </c>
      <c r="H32" s="36" t="s">
        <v>127</v>
      </c>
      <c r="I32" s="37" t="s">
        <v>154</v>
      </c>
      <c r="J32" s="36"/>
      <c r="K32" s="36">
        <v>1</v>
      </c>
      <c r="L32" s="37">
        <f>K32*5</f>
        <v>5</v>
      </c>
      <c r="M32" s="36"/>
    </row>
    <row r="33" spans="1:13" ht="15.75" thickBot="1" x14ac:dyDescent="0.3">
      <c r="A33" s="1"/>
      <c r="B33" s="50">
        <f t="shared" si="0"/>
        <v>24</v>
      </c>
      <c r="C33" s="56" t="s">
        <v>17</v>
      </c>
      <c r="D33" s="38" t="s">
        <v>45</v>
      </c>
      <c r="E33" s="39" t="s">
        <v>75</v>
      </c>
      <c r="F33" s="38" t="s">
        <v>95</v>
      </c>
      <c r="G33" s="39" t="s">
        <v>123</v>
      </c>
      <c r="H33" s="38" t="s">
        <v>127</v>
      </c>
      <c r="I33" s="39" t="s">
        <v>155</v>
      </c>
      <c r="J33" s="38"/>
      <c r="K33" s="38">
        <v>1</v>
      </c>
      <c r="L33" s="39">
        <f t="shared" ref="L33" si="12">K33*5</f>
        <v>5</v>
      </c>
      <c r="M33" s="38"/>
    </row>
    <row r="34" spans="1:13" ht="24.75" thickBot="1" x14ac:dyDescent="0.3">
      <c r="A34" s="1"/>
      <c r="B34" s="50">
        <f>ROW(B34) - ROW($B$9)</f>
        <v>25</v>
      </c>
      <c r="C34" s="56" t="s">
        <v>18</v>
      </c>
      <c r="D34" s="36" t="s">
        <v>46</v>
      </c>
      <c r="E34" s="37" t="s">
        <v>76</v>
      </c>
      <c r="F34" s="38" t="s">
        <v>159</v>
      </c>
      <c r="G34" s="37" t="s">
        <v>97</v>
      </c>
      <c r="H34" s="36" t="s">
        <v>139</v>
      </c>
      <c r="I34" s="37" t="s">
        <v>160</v>
      </c>
      <c r="J34" s="36"/>
      <c r="K34" s="36">
        <v>1</v>
      </c>
      <c r="L34" s="37">
        <f>K34*5</f>
        <v>5</v>
      </c>
      <c r="M34" s="36"/>
    </row>
    <row r="35" spans="1:13" ht="36.75" thickBot="1" x14ac:dyDescent="0.3">
      <c r="A35" s="1"/>
      <c r="B35" s="50">
        <f t="shared" si="0"/>
        <v>26</v>
      </c>
      <c r="C35" s="56" t="s">
        <v>18</v>
      </c>
      <c r="D35" s="38" t="s">
        <v>47</v>
      </c>
      <c r="E35" s="39" t="s">
        <v>77</v>
      </c>
      <c r="F35" s="38" t="s">
        <v>159</v>
      </c>
      <c r="G35" s="39" t="s">
        <v>98</v>
      </c>
      <c r="H35" s="38" t="s">
        <v>140</v>
      </c>
      <c r="I35" s="39" t="s">
        <v>160</v>
      </c>
      <c r="J35" s="38"/>
      <c r="K35" s="38">
        <v>2</v>
      </c>
      <c r="L35" s="39">
        <f t="shared" ref="L35" si="13">K35*5</f>
        <v>10</v>
      </c>
      <c r="M35" s="38"/>
    </row>
    <row r="36" spans="1:13" ht="36.75" thickBot="1" x14ac:dyDescent="0.3">
      <c r="A36" s="1"/>
      <c r="B36" s="50">
        <f>ROW(B36) - ROW($B$9)</f>
        <v>27</v>
      </c>
      <c r="C36" s="56" t="s">
        <v>18</v>
      </c>
      <c r="D36" s="36" t="s">
        <v>48</v>
      </c>
      <c r="E36" s="37" t="s">
        <v>78</v>
      </c>
      <c r="F36" s="38" t="s">
        <v>159</v>
      </c>
      <c r="G36" s="37" t="s">
        <v>99</v>
      </c>
      <c r="H36" s="36" t="s">
        <v>141</v>
      </c>
      <c r="I36" s="37" t="s">
        <v>160</v>
      </c>
      <c r="J36" s="36"/>
      <c r="K36" s="36">
        <v>1</v>
      </c>
      <c r="L36" s="37">
        <f>K36*5</f>
        <v>5</v>
      </c>
      <c r="M36" s="36"/>
    </row>
    <row r="37" spans="1:13" ht="15.75" thickBot="1" x14ac:dyDescent="0.3">
      <c r="A37" s="1"/>
      <c r="B37" s="50">
        <f t="shared" si="0"/>
        <v>28</v>
      </c>
      <c r="C37" s="56" t="s">
        <v>16</v>
      </c>
      <c r="D37" s="38" t="s">
        <v>49</v>
      </c>
      <c r="E37" s="39" t="s">
        <v>79</v>
      </c>
      <c r="F37" s="38" t="s">
        <v>100</v>
      </c>
      <c r="G37" s="39" t="s">
        <v>124</v>
      </c>
      <c r="H37" s="38" t="s">
        <v>142</v>
      </c>
      <c r="I37" s="39" t="s">
        <v>160</v>
      </c>
      <c r="J37" s="38"/>
      <c r="K37" s="38">
        <v>1</v>
      </c>
      <c r="L37" s="39">
        <f t="shared" ref="L37" si="14">K37*5</f>
        <v>5</v>
      </c>
      <c r="M37" s="38"/>
    </row>
    <row r="38" spans="1:13" ht="15.75" thickBot="1" x14ac:dyDescent="0.3">
      <c r="A38" s="1"/>
      <c r="B38" s="50">
        <f>ROW(B38) - ROW($B$9)</f>
        <v>29</v>
      </c>
      <c r="C38" s="56" t="s">
        <v>19</v>
      </c>
      <c r="D38" s="36" t="s">
        <v>50</v>
      </c>
      <c r="E38" s="37" t="s">
        <v>80</v>
      </c>
      <c r="F38" s="36" t="s">
        <v>101</v>
      </c>
      <c r="G38" s="37" t="s">
        <v>125</v>
      </c>
      <c r="H38" s="36" t="s">
        <v>143</v>
      </c>
      <c r="I38" s="37" t="s">
        <v>160</v>
      </c>
      <c r="J38" s="36"/>
      <c r="K38" s="36">
        <v>1</v>
      </c>
      <c r="L38" s="37">
        <f>K38*5</f>
        <v>5</v>
      </c>
      <c r="M38" s="36"/>
    </row>
    <row r="39" spans="1:13" ht="15.75" thickBot="1" x14ac:dyDescent="0.3">
      <c r="A39" s="1"/>
      <c r="B39" s="50">
        <f t="shared" si="0"/>
        <v>30</v>
      </c>
      <c r="C39" s="56" t="s">
        <v>20</v>
      </c>
      <c r="D39" s="38" t="s">
        <v>51</v>
      </c>
      <c r="E39" s="39" t="s">
        <v>81</v>
      </c>
      <c r="F39" s="38" t="s">
        <v>159</v>
      </c>
      <c r="G39" s="39" t="s">
        <v>102</v>
      </c>
      <c r="H39" s="38" t="s">
        <v>144</v>
      </c>
      <c r="I39" s="39" t="s">
        <v>160</v>
      </c>
      <c r="J39" s="38"/>
      <c r="K39" s="38">
        <v>1</v>
      </c>
      <c r="L39" s="39">
        <f t="shared" ref="L39" si="15">K39*5</f>
        <v>5</v>
      </c>
      <c r="M39" s="38"/>
    </row>
    <row r="40" spans="1:13" ht="48.75" thickBot="1" x14ac:dyDescent="0.3">
      <c r="A40" s="1"/>
      <c r="B40" s="50">
        <f t="shared" si="0"/>
        <v>31</v>
      </c>
      <c r="C40" s="56" t="s">
        <v>165</v>
      </c>
      <c r="D40" s="36" t="s">
        <v>166</v>
      </c>
      <c r="E40" s="36" t="s">
        <v>172</v>
      </c>
      <c r="F40" s="36" t="s">
        <v>160</v>
      </c>
      <c r="G40" s="36" t="s">
        <v>160</v>
      </c>
      <c r="H40" s="36" t="s">
        <v>160</v>
      </c>
      <c r="I40" s="36" t="s">
        <v>160</v>
      </c>
      <c r="J40" s="63" t="s">
        <v>173</v>
      </c>
      <c r="K40" s="36">
        <v>1</v>
      </c>
      <c r="L40" s="36">
        <f>K40*5</f>
        <v>5</v>
      </c>
      <c r="M40" s="36"/>
    </row>
    <row r="41" spans="1:13" ht="48.75" thickBot="1" x14ac:dyDescent="0.3">
      <c r="A41" s="1"/>
      <c r="B41" s="50">
        <f t="shared" si="0"/>
        <v>32</v>
      </c>
      <c r="C41" s="56" t="s">
        <v>168</v>
      </c>
      <c r="D41" s="36" t="s">
        <v>166</v>
      </c>
      <c r="E41" s="36" t="s">
        <v>174</v>
      </c>
      <c r="F41" s="36" t="s">
        <v>160</v>
      </c>
      <c r="G41" s="36" t="s">
        <v>160</v>
      </c>
      <c r="H41" s="36" t="s">
        <v>160</v>
      </c>
      <c r="I41" s="36" t="s">
        <v>160</v>
      </c>
      <c r="J41" s="63" t="s">
        <v>173</v>
      </c>
      <c r="K41" s="36">
        <v>1</v>
      </c>
      <c r="L41" s="36">
        <f>K41*5</f>
        <v>5</v>
      </c>
      <c r="M41" s="38"/>
    </row>
    <row r="42" spans="1:13" x14ac:dyDescent="0.25">
      <c r="A42" s="1"/>
      <c r="B42" s="31"/>
      <c r="C42" s="48"/>
      <c r="D42" s="32"/>
      <c r="E42" s="33"/>
      <c r="F42" s="34"/>
      <c r="G42" s="35"/>
      <c r="H42" s="34"/>
      <c r="I42" s="35"/>
      <c r="J42" s="35"/>
      <c r="K42" s="35"/>
      <c r="L42" s="35"/>
      <c r="M42" s="41"/>
    </row>
    <row r="43" spans="1:13" ht="15.75" thickBot="1" x14ac:dyDescent="0.3">
      <c r="A43" s="1"/>
      <c r="B43" s="24"/>
      <c r="C43" s="49"/>
      <c r="D43" s="8"/>
      <c r="E43" s="9"/>
      <c r="F43" s="9"/>
      <c r="G43" s="9"/>
      <c r="H43" s="9"/>
      <c r="I43" s="9"/>
      <c r="J43" s="9"/>
      <c r="K43" s="9"/>
      <c r="L43" s="9"/>
      <c r="M43" s="42"/>
    </row>
  </sheetData>
  <mergeCells count="2">
    <mergeCell ref="I1:M1"/>
    <mergeCell ref="M3:M8"/>
  </mergeCells>
  <hyperlinks>
    <hyperlink ref="J40" r:id="rId1"/>
    <hyperlink ref="J41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31" workbookViewId="0">
      <selection activeCell="G49" sqref="G49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3.28515625" customWidth="1"/>
    <col min="6" max="6" width="14.5703125" customWidth="1"/>
    <col min="7" max="7" width="25.28515625" bestFit="1" customWidth="1"/>
    <col min="8" max="8" width="13.28515625" bestFit="1" customWidth="1"/>
    <col min="9" max="9" width="6.140625" bestFit="1" customWidth="1"/>
    <col min="10" max="10" width="6.140625" customWidth="1"/>
    <col min="11" max="11" width="8.7109375" bestFit="1" customWidth="1"/>
    <col min="12" max="12" width="18.28515625" bestFit="1" customWidth="1"/>
    <col min="13" max="13" width="28.710937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0"/>
      <c r="J1" s="60"/>
      <c r="K1" s="60"/>
      <c r="L1" s="60"/>
      <c r="M1" s="60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157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158</v>
      </c>
      <c r="G3" s="12"/>
      <c r="H3" s="4"/>
      <c r="I3" s="4"/>
      <c r="J3" s="4"/>
      <c r="K3" s="4"/>
      <c r="L3" s="4"/>
      <c r="M3" s="61"/>
    </row>
    <row r="4" spans="1:13" x14ac:dyDescent="0.25">
      <c r="A4" s="1"/>
      <c r="B4" s="21"/>
      <c r="C4" s="44"/>
      <c r="D4" s="12" t="s">
        <v>2</v>
      </c>
      <c r="E4" s="12"/>
      <c r="F4" s="54" t="s">
        <v>158</v>
      </c>
      <c r="G4" s="13"/>
      <c r="H4" s="6"/>
      <c r="I4" s="6"/>
      <c r="J4" s="6"/>
      <c r="K4" s="6"/>
      <c r="L4" s="6"/>
      <c r="M4" s="62"/>
    </row>
    <row r="5" spans="1:13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5"/>
      <c r="M5" s="62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62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2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2"/>
    </row>
    <row r="9" spans="1:13" ht="15.75" thickBot="1" x14ac:dyDescent="0.3">
      <c r="A9" s="1"/>
      <c r="B9" s="29" t="s">
        <v>4</v>
      </c>
      <c r="C9" s="29" t="s">
        <v>6</v>
      </c>
      <c r="D9" s="29" t="s">
        <v>21</v>
      </c>
      <c r="E9" s="30" t="s">
        <v>52</v>
      </c>
      <c r="F9" s="29" t="s">
        <v>82</v>
      </c>
      <c r="G9" s="30" t="s">
        <v>103</v>
      </c>
      <c r="H9" s="29" t="s">
        <v>126</v>
      </c>
      <c r="I9" s="30" t="s">
        <v>162</v>
      </c>
      <c r="J9" s="29" t="s">
        <v>171</v>
      </c>
      <c r="K9" s="29" t="s">
        <v>156</v>
      </c>
      <c r="L9" s="51" t="s">
        <v>170</v>
      </c>
      <c r="M9" s="29" t="s">
        <v>164</v>
      </c>
    </row>
    <row r="10" spans="1:13" s="59" customFormat="1" ht="24.75" thickBot="1" x14ac:dyDescent="0.3">
      <c r="A10" s="58"/>
      <c r="B10" s="50">
        <f>ROW(B10) - ROW($B$9)</f>
        <v>1</v>
      </c>
      <c r="C10" s="56" t="s">
        <v>7</v>
      </c>
      <c r="D10" s="36" t="s">
        <v>22</v>
      </c>
      <c r="E10" s="37" t="s">
        <v>53</v>
      </c>
      <c r="F10" s="36" t="s">
        <v>83</v>
      </c>
      <c r="G10" s="37" t="s">
        <v>104</v>
      </c>
      <c r="H10" s="36" t="s">
        <v>127</v>
      </c>
      <c r="I10" s="37" t="s">
        <v>145</v>
      </c>
      <c r="J10" s="36"/>
      <c r="K10" s="36">
        <v>15</v>
      </c>
      <c r="L10" s="37">
        <f>K10*2</f>
        <v>30</v>
      </c>
      <c r="M10" s="36"/>
    </row>
    <row r="11" spans="1:13" s="59" customFormat="1" ht="15.75" thickBot="1" x14ac:dyDescent="0.3">
      <c r="A11" s="58"/>
      <c r="B11" s="50">
        <f t="shared" ref="B11:B41" si="0">ROW(B11) - ROW($B$9)</f>
        <v>2</v>
      </c>
      <c r="C11" s="56" t="s">
        <v>7</v>
      </c>
      <c r="D11" s="38" t="s">
        <v>23</v>
      </c>
      <c r="E11" s="39" t="s">
        <v>54</v>
      </c>
      <c r="F11" s="38" t="s">
        <v>84</v>
      </c>
      <c r="G11" s="39" t="s">
        <v>105</v>
      </c>
      <c r="H11" s="38" t="s">
        <v>127</v>
      </c>
      <c r="I11" s="39" t="s">
        <v>146</v>
      </c>
      <c r="J11" s="38"/>
      <c r="K11" s="38">
        <v>6</v>
      </c>
      <c r="L11" s="37">
        <f t="shared" ref="L11:L41" si="1">K11*2</f>
        <v>12</v>
      </c>
      <c r="M11" s="38"/>
    </row>
    <row r="12" spans="1:13" s="59" customFormat="1" ht="15.75" thickBot="1" x14ac:dyDescent="0.3">
      <c r="A12" s="58"/>
      <c r="B12" s="50">
        <f>ROW(B12) - ROW($B$9)</f>
        <v>3</v>
      </c>
      <c r="C12" s="56" t="s">
        <v>7</v>
      </c>
      <c r="D12" s="36" t="s">
        <v>24</v>
      </c>
      <c r="E12" s="37" t="s">
        <v>55</v>
      </c>
      <c r="F12" s="36" t="s">
        <v>84</v>
      </c>
      <c r="G12" s="37" t="s">
        <v>106</v>
      </c>
      <c r="H12" s="36" t="s">
        <v>127</v>
      </c>
      <c r="I12" s="37" t="s">
        <v>147</v>
      </c>
      <c r="J12" s="36"/>
      <c r="K12" s="36">
        <v>2</v>
      </c>
      <c r="L12" s="37">
        <f t="shared" si="1"/>
        <v>4</v>
      </c>
      <c r="M12" s="36"/>
    </row>
    <row r="13" spans="1:13" s="59" customFormat="1" ht="24.75" thickBot="1" x14ac:dyDescent="0.3">
      <c r="A13" s="58"/>
      <c r="B13" s="50">
        <f t="shared" si="0"/>
        <v>4</v>
      </c>
      <c r="C13" s="56" t="s">
        <v>8</v>
      </c>
      <c r="D13" s="38" t="s">
        <v>25</v>
      </c>
      <c r="E13" s="39" t="s">
        <v>56</v>
      </c>
      <c r="F13" s="38" t="s">
        <v>85</v>
      </c>
      <c r="G13" s="39" t="s">
        <v>107</v>
      </c>
      <c r="H13" s="38" t="s">
        <v>128</v>
      </c>
      <c r="I13" s="39" t="s">
        <v>160</v>
      </c>
      <c r="J13" s="38"/>
      <c r="K13" s="38">
        <v>1</v>
      </c>
      <c r="L13" s="37">
        <f t="shared" si="1"/>
        <v>2</v>
      </c>
      <c r="M13" s="38"/>
    </row>
    <row r="14" spans="1:13" s="59" customFormat="1" ht="24.75" thickBot="1" x14ac:dyDescent="0.3">
      <c r="A14" s="58"/>
      <c r="B14" s="50">
        <f>ROW(B14) - ROW($B$9)</f>
        <v>5</v>
      </c>
      <c r="C14" s="56" t="s">
        <v>8</v>
      </c>
      <c r="D14" s="36" t="s">
        <v>26</v>
      </c>
      <c r="E14" s="37" t="s">
        <v>57</v>
      </c>
      <c r="F14" s="36" t="s">
        <v>86</v>
      </c>
      <c r="G14" s="37" t="s">
        <v>108</v>
      </c>
      <c r="H14" s="36" t="s">
        <v>129</v>
      </c>
      <c r="I14" s="37" t="s">
        <v>160</v>
      </c>
      <c r="J14" s="36"/>
      <c r="K14" s="36">
        <v>1</v>
      </c>
      <c r="L14" s="37">
        <f t="shared" si="1"/>
        <v>2</v>
      </c>
      <c r="M14" s="36"/>
    </row>
    <row r="15" spans="1:13" s="59" customFormat="1" ht="36.75" thickBot="1" x14ac:dyDescent="0.3">
      <c r="A15" s="58"/>
      <c r="B15" s="50">
        <f t="shared" si="0"/>
        <v>6</v>
      </c>
      <c r="C15" s="56" t="s">
        <v>9</v>
      </c>
      <c r="D15" s="38" t="s">
        <v>27</v>
      </c>
      <c r="E15" s="39" t="s">
        <v>58</v>
      </c>
      <c r="F15" s="38" t="s">
        <v>87</v>
      </c>
      <c r="G15" s="39" t="s">
        <v>109</v>
      </c>
      <c r="H15" s="38" t="s">
        <v>130</v>
      </c>
      <c r="I15" s="39" t="s">
        <v>160</v>
      </c>
      <c r="J15" s="38"/>
      <c r="K15" s="38">
        <v>1</v>
      </c>
      <c r="L15" s="37">
        <f t="shared" si="1"/>
        <v>2</v>
      </c>
      <c r="M15" s="38"/>
    </row>
    <row r="16" spans="1:13" s="59" customFormat="1" ht="26.25" thickBot="1" x14ac:dyDescent="0.3">
      <c r="A16" s="58"/>
      <c r="B16" s="50">
        <f>ROW(B16) - ROW($B$9)</f>
        <v>7</v>
      </c>
      <c r="C16" s="56" t="s">
        <v>10</v>
      </c>
      <c r="D16" s="36" t="s">
        <v>28</v>
      </c>
      <c r="E16" s="37" t="s">
        <v>59</v>
      </c>
      <c r="F16" s="36" t="s">
        <v>88</v>
      </c>
      <c r="G16" s="37" t="s">
        <v>110</v>
      </c>
      <c r="H16" s="36" t="s">
        <v>131</v>
      </c>
      <c r="I16" s="37" t="s">
        <v>160</v>
      </c>
      <c r="J16" s="36"/>
      <c r="K16" s="36">
        <v>1</v>
      </c>
      <c r="L16" s="37">
        <f t="shared" si="1"/>
        <v>2</v>
      </c>
      <c r="M16" s="36"/>
    </row>
    <row r="17" spans="1:13" s="59" customFormat="1" ht="48.75" thickBot="1" x14ac:dyDescent="0.3">
      <c r="A17" s="58"/>
      <c r="B17" s="50">
        <f t="shared" si="0"/>
        <v>8</v>
      </c>
      <c r="C17" s="56" t="s">
        <v>11</v>
      </c>
      <c r="D17" s="38" t="s">
        <v>29</v>
      </c>
      <c r="E17" s="39" t="s">
        <v>60</v>
      </c>
      <c r="F17" s="38" t="s">
        <v>159</v>
      </c>
      <c r="G17" s="39" t="s">
        <v>89</v>
      </c>
      <c r="H17" s="38" t="s">
        <v>132</v>
      </c>
      <c r="I17" s="39" t="s">
        <v>160</v>
      </c>
      <c r="J17" s="38"/>
      <c r="K17" s="38">
        <v>1</v>
      </c>
      <c r="L17" s="37">
        <f t="shared" si="1"/>
        <v>2</v>
      </c>
      <c r="M17" s="38"/>
    </row>
    <row r="18" spans="1:13" s="59" customFormat="1" ht="60.75" thickBot="1" x14ac:dyDescent="0.3">
      <c r="A18" s="58"/>
      <c r="B18" s="50">
        <f>ROW(B18) - ROW($B$9)</f>
        <v>9</v>
      </c>
      <c r="C18" s="56" t="s">
        <v>12</v>
      </c>
      <c r="D18" s="36" t="s">
        <v>30</v>
      </c>
      <c r="E18" s="37" t="s">
        <v>61</v>
      </c>
      <c r="F18" s="38" t="s">
        <v>159</v>
      </c>
      <c r="G18" s="37" t="s">
        <v>90</v>
      </c>
      <c r="H18" s="36" t="s">
        <v>133</v>
      </c>
      <c r="I18" s="37" t="s">
        <v>160</v>
      </c>
      <c r="J18" s="36"/>
      <c r="K18" s="36">
        <v>1</v>
      </c>
      <c r="L18" s="37">
        <f t="shared" si="1"/>
        <v>2</v>
      </c>
      <c r="M18" s="36"/>
    </row>
    <row r="19" spans="1:13" s="59" customFormat="1" ht="48.75" thickBot="1" x14ac:dyDescent="0.3">
      <c r="A19" s="58"/>
      <c r="B19" s="50">
        <f t="shared" si="0"/>
        <v>10</v>
      </c>
      <c r="C19" s="56" t="s">
        <v>13</v>
      </c>
      <c r="D19" s="38" t="s">
        <v>31</v>
      </c>
      <c r="E19" s="39" t="s">
        <v>62</v>
      </c>
      <c r="F19" s="38" t="s">
        <v>159</v>
      </c>
      <c r="G19" s="39" t="s">
        <v>111</v>
      </c>
      <c r="H19" s="38" t="s">
        <v>134</v>
      </c>
      <c r="I19" s="39" t="s">
        <v>160</v>
      </c>
      <c r="J19" s="38"/>
      <c r="K19" s="38">
        <v>1</v>
      </c>
      <c r="L19" s="37">
        <f t="shared" si="1"/>
        <v>2</v>
      </c>
      <c r="M19" s="38"/>
    </row>
    <row r="20" spans="1:13" s="59" customFormat="1" ht="48.75" thickBot="1" x14ac:dyDescent="0.3">
      <c r="A20" s="58"/>
      <c r="B20" s="50">
        <f>ROW(B20) - ROW($B$9)</f>
        <v>11</v>
      </c>
      <c r="C20" s="56" t="s">
        <v>14</v>
      </c>
      <c r="D20" s="36" t="s">
        <v>32</v>
      </c>
      <c r="E20" s="37" t="s">
        <v>63</v>
      </c>
      <c r="F20" s="36" t="s">
        <v>91</v>
      </c>
      <c r="G20" s="37" t="s">
        <v>112</v>
      </c>
      <c r="H20" s="36" t="s">
        <v>135</v>
      </c>
      <c r="I20" s="57" t="s">
        <v>161</v>
      </c>
      <c r="J20" s="36"/>
      <c r="K20" s="36">
        <v>1</v>
      </c>
      <c r="L20" s="37">
        <f t="shared" si="1"/>
        <v>2</v>
      </c>
      <c r="M20" s="36"/>
    </row>
    <row r="21" spans="1:13" s="59" customFormat="1" ht="48.75" thickBot="1" x14ac:dyDescent="0.3">
      <c r="A21" s="58"/>
      <c r="B21" s="50">
        <f t="shared" si="0"/>
        <v>12</v>
      </c>
      <c r="C21" s="56" t="s">
        <v>14</v>
      </c>
      <c r="D21" s="38" t="s">
        <v>33</v>
      </c>
      <c r="E21" s="39" t="s">
        <v>64</v>
      </c>
      <c r="F21" s="38" t="s">
        <v>91</v>
      </c>
      <c r="G21" s="39" t="s">
        <v>113</v>
      </c>
      <c r="H21" s="38" t="s">
        <v>135</v>
      </c>
      <c r="I21" s="39" t="s">
        <v>160</v>
      </c>
      <c r="J21" s="38"/>
      <c r="K21" s="38">
        <v>1</v>
      </c>
      <c r="L21" s="37">
        <f t="shared" si="1"/>
        <v>2</v>
      </c>
      <c r="M21" s="38"/>
    </row>
    <row r="22" spans="1:13" s="59" customFormat="1" ht="48.75" thickBot="1" x14ac:dyDescent="0.3">
      <c r="A22" s="58"/>
      <c r="B22" s="50">
        <f>ROW(B22) - ROW($B$9)</f>
        <v>13</v>
      </c>
      <c r="C22" s="56" t="s">
        <v>14</v>
      </c>
      <c r="D22" s="36" t="s">
        <v>34</v>
      </c>
      <c r="E22" s="37" t="s">
        <v>65</v>
      </c>
      <c r="F22" s="36" t="s">
        <v>91</v>
      </c>
      <c r="G22" s="37" t="s">
        <v>114</v>
      </c>
      <c r="H22" s="36" t="s">
        <v>135</v>
      </c>
      <c r="I22" s="37" t="s">
        <v>160</v>
      </c>
      <c r="J22" s="36"/>
      <c r="K22" s="36">
        <v>1</v>
      </c>
      <c r="L22" s="37">
        <f t="shared" si="1"/>
        <v>2</v>
      </c>
      <c r="M22" s="36"/>
    </row>
    <row r="23" spans="1:13" s="59" customFormat="1" ht="24.75" thickBot="1" x14ac:dyDescent="0.3">
      <c r="A23" s="58"/>
      <c r="B23" s="50">
        <f t="shared" si="0"/>
        <v>14</v>
      </c>
      <c r="C23" s="56" t="s">
        <v>15</v>
      </c>
      <c r="D23" s="38" t="s">
        <v>35</v>
      </c>
      <c r="E23" s="39" t="s">
        <v>66</v>
      </c>
      <c r="F23" s="38" t="s">
        <v>159</v>
      </c>
      <c r="G23" s="39" t="s">
        <v>92</v>
      </c>
      <c r="H23" s="38" t="s">
        <v>136</v>
      </c>
      <c r="I23" s="39" t="s">
        <v>160</v>
      </c>
      <c r="J23" s="38"/>
      <c r="K23" s="38">
        <v>6</v>
      </c>
      <c r="L23" s="37">
        <f t="shared" si="1"/>
        <v>12</v>
      </c>
      <c r="M23" s="38"/>
    </row>
    <row r="24" spans="1:13" s="59" customFormat="1" ht="24.75" thickBot="1" x14ac:dyDescent="0.3">
      <c r="A24" s="58"/>
      <c r="B24" s="50">
        <f>ROW(B24) - ROW($B$9)</f>
        <v>15</v>
      </c>
      <c r="C24" s="56" t="s">
        <v>16</v>
      </c>
      <c r="D24" s="36" t="s">
        <v>36</v>
      </c>
      <c r="E24" s="37" t="s">
        <v>67</v>
      </c>
      <c r="F24" s="36" t="s">
        <v>93</v>
      </c>
      <c r="G24" s="37" t="s">
        <v>115</v>
      </c>
      <c r="H24" s="36" t="s">
        <v>137</v>
      </c>
      <c r="I24" s="37" t="s">
        <v>160</v>
      </c>
      <c r="J24" s="36"/>
      <c r="K24" s="36">
        <v>1</v>
      </c>
      <c r="L24" s="37">
        <f t="shared" si="1"/>
        <v>2</v>
      </c>
      <c r="M24" s="36"/>
    </row>
    <row r="25" spans="1:13" s="59" customFormat="1" ht="24.75" thickBot="1" x14ac:dyDescent="0.3">
      <c r="A25" s="58"/>
      <c r="B25" s="50">
        <f t="shared" si="0"/>
        <v>16</v>
      </c>
      <c r="C25" s="56" t="s">
        <v>16</v>
      </c>
      <c r="D25" s="38" t="s">
        <v>37</v>
      </c>
      <c r="E25" s="39" t="s">
        <v>68</v>
      </c>
      <c r="F25" s="38" t="s">
        <v>94</v>
      </c>
      <c r="G25" s="39" t="s">
        <v>116</v>
      </c>
      <c r="H25" s="38" t="s">
        <v>138</v>
      </c>
      <c r="I25" s="39" t="s">
        <v>160</v>
      </c>
      <c r="J25" s="38"/>
      <c r="K25" s="38">
        <v>1</v>
      </c>
      <c r="L25" s="37">
        <f t="shared" si="1"/>
        <v>2</v>
      </c>
      <c r="M25" s="38"/>
    </row>
    <row r="26" spans="1:13" s="59" customFormat="1" ht="24.75" thickBot="1" x14ac:dyDescent="0.3">
      <c r="A26" s="58"/>
      <c r="B26" s="50">
        <f>ROW(B26) - ROW($B$9)</f>
        <v>17</v>
      </c>
      <c r="C26" s="56" t="s">
        <v>17</v>
      </c>
      <c r="D26" s="36" t="s">
        <v>38</v>
      </c>
      <c r="E26" s="37" t="s">
        <v>69</v>
      </c>
      <c r="F26" s="36" t="s">
        <v>95</v>
      </c>
      <c r="G26" s="37" t="s">
        <v>117</v>
      </c>
      <c r="H26" s="36" t="s">
        <v>127</v>
      </c>
      <c r="I26" s="37" t="s">
        <v>148</v>
      </c>
      <c r="J26" s="36"/>
      <c r="K26" s="36">
        <v>7</v>
      </c>
      <c r="L26" s="37">
        <f t="shared" si="1"/>
        <v>14</v>
      </c>
      <c r="M26" s="36"/>
    </row>
    <row r="27" spans="1:13" s="59" customFormat="1" ht="24.75" thickBot="1" x14ac:dyDescent="0.3">
      <c r="A27" s="58"/>
      <c r="B27" s="50">
        <f t="shared" si="0"/>
        <v>18</v>
      </c>
      <c r="C27" s="56" t="s">
        <v>17</v>
      </c>
      <c r="D27" s="38" t="s">
        <v>39</v>
      </c>
      <c r="E27" s="39" t="s">
        <v>70</v>
      </c>
      <c r="F27" s="38" t="s">
        <v>95</v>
      </c>
      <c r="G27" s="39" t="s">
        <v>118</v>
      </c>
      <c r="H27" s="38" t="s">
        <v>127</v>
      </c>
      <c r="I27" s="39" t="s">
        <v>149</v>
      </c>
      <c r="J27" s="38"/>
      <c r="K27" s="38">
        <v>1</v>
      </c>
      <c r="L27" s="37">
        <f t="shared" si="1"/>
        <v>2</v>
      </c>
      <c r="M27" s="38"/>
    </row>
    <row r="28" spans="1:13" s="59" customFormat="1" ht="15.75" thickBot="1" x14ac:dyDescent="0.3">
      <c r="A28" s="58"/>
      <c r="B28" s="50">
        <f>ROW(B28) - ROW($B$9)</f>
        <v>19</v>
      </c>
      <c r="C28" s="56" t="s">
        <v>17</v>
      </c>
      <c r="D28" s="36" t="s">
        <v>40</v>
      </c>
      <c r="E28" s="37" t="s">
        <v>71</v>
      </c>
      <c r="F28" s="36" t="s">
        <v>96</v>
      </c>
      <c r="G28" s="37" t="s">
        <v>119</v>
      </c>
      <c r="H28" s="36" t="s">
        <v>127</v>
      </c>
      <c r="I28" s="37" t="s">
        <v>150</v>
      </c>
      <c r="J28" s="36"/>
      <c r="K28" s="36">
        <v>1</v>
      </c>
      <c r="L28" s="37">
        <f t="shared" si="1"/>
        <v>2</v>
      </c>
      <c r="M28" s="36"/>
    </row>
    <row r="29" spans="1:13" s="59" customFormat="1" ht="24.75" thickBot="1" x14ac:dyDescent="0.3">
      <c r="A29" s="58"/>
      <c r="B29" s="50">
        <f t="shared" si="0"/>
        <v>20</v>
      </c>
      <c r="C29" s="56" t="s">
        <v>17</v>
      </c>
      <c r="D29" s="38" t="s">
        <v>41</v>
      </c>
      <c r="E29" s="39" t="s">
        <v>72</v>
      </c>
      <c r="F29" s="38" t="s">
        <v>95</v>
      </c>
      <c r="G29" s="39" t="s">
        <v>120</v>
      </c>
      <c r="H29" s="38" t="s">
        <v>127</v>
      </c>
      <c r="I29" s="39" t="s">
        <v>151</v>
      </c>
      <c r="J29" s="38"/>
      <c r="K29" s="38">
        <v>2</v>
      </c>
      <c r="L29" s="37">
        <f t="shared" si="1"/>
        <v>4</v>
      </c>
      <c r="M29" s="38"/>
    </row>
    <row r="30" spans="1:13" s="59" customFormat="1" ht="15.75" thickBot="1" x14ac:dyDescent="0.3">
      <c r="A30" s="58"/>
      <c r="B30" s="50">
        <f>ROW(B30) - ROW($B$9)</f>
        <v>21</v>
      </c>
      <c r="C30" s="56" t="s">
        <v>17</v>
      </c>
      <c r="D30" s="36" t="s">
        <v>42</v>
      </c>
      <c r="E30" s="37" t="s">
        <v>73</v>
      </c>
      <c r="F30" s="36" t="s">
        <v>95</v>
      </c>
      <c r="G30" s="37" t="s">
        <v>121</v>
      </c>
      <c r="H30" s="36" t="s">
        <v>127</v>
      </c>
      <c r="I30" s="37" t="s">
        <v>152</v>
      </c>
      <c r="J30" s="36"/>
      <c r="K30" s="36">
        <v>1</v>
      </c>
      <c r="L30" s="37">
        <f t="shared" si="1"/>
        <v>2</v>
      </c>
      <c r="M30" s="36"/>
    </row>
    <row r="31" spans="1:13" s="59" customFormat="1" ht="15.75" thickBot="1" x14ac:dyDescent="0.3">
      <c r="A31" s="58"/>
      <c r="B31" s="50">
        <f t="shared" si="0"/>
        <v>22</v>
      </c>
      <c r="C31" s="56" t="s">
        <v>17</v>
      </c>
      <c r="D31" s="38" t="s">
        <v>43</v>
      </c>
      <c r="E31" s="39" t="s">
        <v>74</v>
      </c>
      <c r="F31" s="38" t="s">
        <v>95</v>
      </c>
      <c r="G31" s="39" t="s">
        <v>122</v>
      </c>
      <c r="H31" s="38" t="s">
        <v>127</v>
      </c>
      <c r="I31" s="39" t="s">
        <v>153</v>
      </c>
      <c r="J31" s="38"/>
      <c r="K31" s="38">
        <v>1</v>
      </c>
      <c r="L31" s="37">
        <f t="shared" si="1"/>
        <v>2</v>
      </c>
      <c r="M31" s="38"/>
    </row>
    <row r="32" spans="1:13" s="59" customFormat="1" ht="24.75" thickBot="1" x14ac:dyDescent="0.3">
      <c r="A32" s="58"/>
      <c r="B32" s="50">
        <f>ROW(B32) - ROW($B$9)</f>
        <v>23</v>
      </c>
      <c r="C32" s="56" t="s">
        <v>17</v>
      </c>
      <c r="D32" s="36" t="s">
        <v>44</v>
      </c>
      <c r="E32" s="37" t="s">
        <v>69</v>
      </c>
      <c r="F32" s="36" t="s">
        <v>95</v>
      </c>
      <c r="G32" s="37" t="s">
        <v>117</v>
      </c>
      <c r="H32" s="36" t="s">
        <v>127</v>
      </c>
      <c r="I32" s="37" t="s">
        <v>154</v>
      </c>
      <c r="J32" s="36"/>
      <c r="K32" s="36">
        <v>1</v>
      </c>
      <c r="L32" s="37">
        <f t="shared" si="1"/>
        <v>2</v>
      </c>
      <c r="M32" s="36"/>
    </row>
    <row r="33" spans="1:13" s="59" customFormat="1" ht="24.75" thickBot="1" x14ac:dyDescent="0.3">
      <c r="A33" s="58"/>
      <c r="B33" s="50">
        <f t="shared" si="0"/>
        <v>24</v>
      </c>
      <c r="C33" s="56" t="s">
        <v>17</v>
      </c>
      <c r="D33" s="38" t="s">
        <v>45</v>
      </c>
      <c r="E33" s="39" t="s">
        <v>75</v>
      </c>
      <c r="F33" s="38" t="s">
        <v>95</v>
      </c>
      <c r="G33" s="39" t="s">
        <v>123</v>
      </c>
      <c r="H33" s="38" t="s">
        <v>127</v>
      </c>
      <c r="I33" s="39" t="s">
        <v>155</v>
      </c>
      <c r="J33" s="38"/>
      <c r="K33" s="38">
        <v>1</v>
      </c>
      <c r="L33" s="37">
        <f t="shared" si="1"/>
        <v>2</v>
      </c>
      <c r="M33" s="38"/>
    </row>
    <row r="34" spans="1:13" s="59" customFormat="1" ht="26.25" thickBot="1" x14ac:dyDescent="0.3">
      <c r="A34" s="58"/>
      <c r="B34" s="50">
        <f>ROW(B34) - ROW($B$9)</f>
        <v>25</v>
      </c>
      <c r="C34" s="56" t="s">
        <v>18</v>
      </c>
      <c r="D34" s="36" t="s">
        <v>46</v>
      </c>
      <c r="E34" s="37" t="s">
        <v>76</v>
      </c>
      <c r="F34" s="38" t="s">
        <v>159</v>
      </c>
      <c r="G34" s="37" t="s">
        <v>97</v>
      </c>
      <c r="H34" s="36" t="s">
        <v>139</v>
      </c>
      <c r="I34" s="37" t="s">
        <v>160</v>
      </c>
      <c r="J34" s="36"/>
      <c r="K34" s="36">
        <v>1</v>
      </c>
      <c r="L34" s="37">
        <f t="shared" si="1"/>
        <v>2</v>
      </c>
      <c r="M34" s="36"/>
    </row>
    <row r="35" spans="1:13" s="59" customFormat="1" ht="48.75" thickBot="1" x14ac:dyDescent="0.3">
      <c r="A35" s="58"/>
      <c r="B35" s="50">
        <f t="shared" si="0"/>
        <v>26</v>
      </c>
      <c r="C35" s="56" t="s">
        <v>18</v>
      </c>
      <c r="D35" s="38" t="s">
        <v>47</v>
      </c>
      <c r="E35" s="39" t="s">
        <v>77</v>
      </c>
      <c r="F35" s="38" t="s">
        <v>159</v>
      </c>
      <c r="G35" s="39" t="s">
        <v>98</v>
      </c>
      <c r="H35" s="38" t="s">
        <v>140</v>
      </c>
      <c r="I35" s="39" t="s">
        <v>160</v>
      </c>
      <c r="J35" s="38"/>
      <c r="K35" s="38">
        <v>2</v>
      </c>
      <c r="L35" s="37">
        <f t="shared" si="1"/>
        <v>4</v>
      </c>
      <c r="M35" s="38"/>
    </row>
    <row r="36" spans="1:13" s="59" customFormat="1" ht="48.75" thickBot="1" x14ac:dyDescent="0.3">
      <c r="A36" s="58"/>
      <c r="B36" s="50">
        <f>ROW(B36) - ROW($B$9)</f>
        <v>27</v>
      </c>
      <c r="C36" s="56" t="s">
        <v>18</v>
      </c>
      <c r="D36" s="36" t="s">
        <v>48</v>
      </c>
      <c r="E36" s="37" t="s">
        <v>78</v>
      </c>
      <c r="F36" s="38" t="s">
        <v>159</v>
      </c>
      <c r="G36" s="37" t="s">
        <v>99</v>
      </c>
      <c r="H36" s="36" t="s">
        <v>141</v>
      </c>
      <c r="I36" s="37" t="s">
        <v>160</v>
      </c>
      <c r="J36" s="36"/>
      <c r="K36" s="36">
        <v>1</v>
      </c>
      <c r="L36" s="37">
        <f t="shared" si="1"/>
        <v>2</v>
      </c>
      <c r="M36" s="36"/>
    </row>
    <row r="37" spans="1:13" s="59" customFormat="1" ht="24.75" thickBot="1" x14ac:dyDescent="0.3">
      <c r="A37" s="58"/>
      <c r="B37" s="50">
        <f t="shared" si="0"/>
        <v>28</v>
      </c>
      <c r="C37" s="56" t="s">
        <v>16</v>
      </c>
      <c r="D37" s="38" t="s">
        <v>49</v>
      </c>
      <c r="E37" s="39" t="s">
        <v>79</v>
      </c>
      <c r="F37" s="38" t="s">
        <v>100</v>
      </c>
      <c r="G37" s="39" t="s">
        <v>124</v>
      </c>
      <c r="H37" s="38" t="s">
        <v>142</v>
      </c>
      <c r="I37" s="39" t="s">
        <v>160</v>
      </c>
      <c r="J37" s="38"/>
      <c r="K37" s="38">
        <v>1</v>
      </c>
      <c r="L37" s="37">
        <f t="shared" si="1"/>
        <v>2</v>
      </c>
      <c r="M37" s="38"/>
    </row>
    <row r="38" spans="1:13" s="59" customFormat="1" ht="24.75" thickBot="1" x14ac:dyDescent="0.3">
      <c r="A38" s="58"/>
      <c r="B38" s="50">
        <f>ROW(B38) - ROW($B$9)</f>
        <v>29</v>
      </c>
      <c r="C38" s="56" t="s">
        <v>19</v>
      </c>
      <c r="D38" s="36" t="s">
        <v>50</v>
      </c>
      <c r="E38" s="37" t="s">
        <v>80</v>
      </c>
      <c r="F38" s="36" t="s">
        <v>101</v>
      </c>
      <c r="G38" s="37" t="s">
        <v>125</v>
      </c>
      <c r="H38" s="36" t="s">
        <v>143</v>
      </c>
      <c r="I38" s="37" t="s">
        <v>160</v>
      </c>
      <c r="J38" s="36"/>
      <c r="K38" s="36">
        <v>1</v>
      </c>
      <c r="L38" s="37">
        <f t="shared" si="1"/>
        <v>2</v>
      </c>
      <c r="M38" s="36"/>
    </row>
    <row r="39" spans="1:13" s="59" customFormat="1" ht="24.75" thickBot="1" x14ac:dyDescent="0.3">
      <c r="A39" s="58"/>
      <c r="B39" s="50">
        <f t="shared" si="0"/>
        <v>30</v>
      </c>
      <c r="C39" s="56" t="s">
        <v>20</v>
      </c>
      <c r="D39" s="38" t="s">
        <v>51</v>
      </c>
      <c r="E39" s="39" t="s">
        <v>81</v>
      </c>
      <c r="F39" s="38" t="s">
        <v>159</v>
      </c>
      <c r="G39" s="39" t="s">
        <v>102</v>
      </c>
      <c r="H39" s="38" t="s">
        <v>144</v>
      </c>
      <c r="I39" s="39" t="s">
        <v>160</v>
      </c>
      <c r="J39" s="38"/>
      <c r="K39" s="38">
        <v>1</v>
      </c>
      <c r="L39" s="37">
        <f t="shared" si="1"/>
        <v>2</v>
      </c>
      <c r="M39" s="38"/>
    </row>
    <row r="40" spans="1:13" s="59" customFormat="1" ht="60.75" thickBot="1" x14ac:dyDescent="0.3">
      <c r="A40" s="58"/>
      <c r="B40" s="50">
        <f t="shared" si="0"/>
        <v>31</v>
      </c>
      <c r="C40" s="56" t="s">
        <v>165</v>
      </c>
      <c r="D40" s="36" t="s">
        <v>166</v>
      </c>
      <c r="E40" s="36" t="s">
        <v>167</v>
      </c>
      <c r="F40" s="36" t="s">
        <v>160</v>
      </c>
      <c r="G40" s="36" t="s">
        <v>160</v>
      </c>
      <c r="H40" s="36" t="s">
        <v>160</v>
      </c>
      <c r="I40" s="36" t="s">
        <v>160</v>
      </c>
      <c r="J40" s="63" t="s">
        <v>173</v>
      </c>
      <c r="K40" s="36">
        <v>1</v>
      </c>
      <c r="L40" s="37">
        <f t="shared" si="1"/>
        <v>2</v>
      </c>
      <c r="M40" s="36"/>
    </row>
    <row r="41" spans="1:13" s="59" customFormat="1" ht="48.75" thickBot="1" x14ac:dyDescent="0.3">
      <c r="A41" s="58"/>
      <c r="B41" s="50">
        <f t="shared" si="0"/>
        <v>32</v>
      </c>
      <c r="C41" s="56" t="s">
        <v>168</v>
      </c>
      <c r="D41" s="36" t="s">
        <v>166</v>
      </c>
      <c r="E41" s="36" t="s">
        <v>169</v>
      </c>
      <c r="F41" s="36" t="s">
        <v>160</v>
      </c>
      <c r="G41" s="36" t="s">
        <v>160</v>
      </c>
      <c r="H41" s="36" t="s">
        <v>160</v>
      </c>
      <c r="I41" s="36" t="s">
        <v>160</v>
      </c>
      <c r="J41" s="63" t="s">
        <v>173</v>
      </c>
      <c r="K41" s="36">
        <v>1</v>
      </c>
      <c r="L41" s="37">
        <f t="shared" si="1"/>
        <v>2</v>
      </c>
      <c r="M41" s="38"/>
    </row>
    <row r="42" spans="1:13" x14ac:dyDescent="0.25">
      <c r="A42" s="1"/>
      <c r="B42" s="31"/>
      <c r="C42" s="48"/>
      <c r="D42" s="32"/>
      <c r="E42" s="33"/>
      <c r="F42" s="34"/>
      <c r="G42" s="35"/>
      <c r="H42" s="34"/>
      <c r="I42" s="35"/>
      <c r="J42" s="35"/>
      <c r="K42" s="35"/>
      <c r="L42" s="35"/>
      <c r="M42" s="41"/>
    </row>
    <row r="43" spans="1:13" ht="15.75" thickBot="1" x14ac:dyDescent="0.3">
      <c r="A43" s="1"/>
      <c r="B43" s="24"/>
      <c r="C43" s="49"/>
      <c r="D43" s="8"/>
      <c r="E43" s="9"/>
      <c r="F43" s="9"/>
      <c r="G43" s="9"/>
      <c r="H43" s="9"/>
      <c r="I43" s="9"/>
      <c r="J43" s="9"/>
      <c r="K43" s="9"/>
      <c r="L43" s="9"/>
      <c r="M43" s="42"/>
    </row>
  </sheetData>
  <mergeCells count="2">
    <mergeCell ref="I1:M1"/>
    <mergeCell ref="M3:M8"/>
  </mergeCells>
  <hyperlinks>
    <hyperlink ref="J40" r:id="rId1"/>
    <hyperlink ref="J41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2023-09-06T15:00:02Z</dcterms:modified>
</cp:coreProperties>
</file>