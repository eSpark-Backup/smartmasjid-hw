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BOM\"/>
    </mc:Choice>
  </mc:AlternateContent>
  <bookViews>
    <workbookView xWindow="28680" yWindow="-120" windowWidth="29040" windowHeight="15840" activeTab="1"/>
  </bookViews>
  <sheets>
    <sheet name="2 Boards" sheetId="1" r:id="rId1"/>
    <sheet name="5 Boards" sheetId="2" r:id="rId2"/>
  </sheets>
  <calcPr calcId="162913"/>
</workbook>
</file>

<file path=xl/calcChain.xml><?xml version="1.0" encoding="utf-8"?>
<calcChain xmlns="http://schemas.openxmlformats.org/spreadsheetml/2006/main">
  <c r="B51" i="2" l="1"/>
  <c r="B50" i="2"/>
  <c r="B48" i="1"/>
  <c r="B49" i="1"/>
  <c r="M14" i="1" l="1"/>
  <c r="M13" i="1"/>
  <c r="M11" i="1"/>
  <c r="M15" i="1"/>
  <c r="M12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2" i="1"/>
  <c r="B12" i="1"/>
  <c r="Q15" i="1"/>
  <c r="B15" i="1"/>
  <c r="Q11" i="1"/>
  <c r="B11" i="1"/>
  <c r="Q13" i="1"/>
  <c r="B13" i="1"/>
  <c r="Q14" i="1"/>
  <c r="B14" i="1"/>
  <c r="Q10" i="1"/>
  <c r="B10" i="1"/>
  <c r="Q50" i="1" l="1"/>
  <c r="Q51" i="1" s="1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Q44" i="2"/>
  <c r="M44" i="2"/>
  <c r="B44" i="2"/>
  <c r="Q43" i="2"/>
  <c r="M43" i="2"/>
  <c r="B43" i="2"/>
  <c r="Q42" i="2"/>
  <c r="M42" i="2"/>
  <c r="B42" i="2"/>
  <c r="Q41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Q35" i="2"/>
  <c r="M35" i="2"/>
  <c r="B35" i="2"/>
  <c r="Q34" i="2"/>
  <c r="M34" i="2"/>
  <c r="B34" i="2"/>
  <c r="Q33" i="2"/>
  <c r="M33" i="2"/>
  <c r="B33" i="2"/>
  <c r="Q32" i="2"/>
  <c r="M32" i="2"/>
  <c r="B32" i="2"/>
  <c r="Q31" i="2"/>
  <c r="M31" i="2"/>
  <c r="B31" i="2"/>
  <c r="Q30" i="2"/>
  <c r="M30" i="2"/>
  <c r="B30" i="2"/>
  <c r="Q29" i="2"/>
  <c r="M29" i="2"/>
  <c r="B29" i="2"/>
  <c r="Q28" i="2"/>
  <c r="M28" i="2"/>
  <c r="B28" i="2"/>
  <c r="Q27" i="2"/>
  <c r="M27" i="2"/>
  <c r="B27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2" i="2"/>
  <c r="M12" i="2"/>
  <c r="B12" i="2"/>
  <c r="Q15" i="2"/>
  <c r="M15" i="2"/>
  <c r="B15" i="2"/>
  <c r="Q11" i="2"/>
  <c r="M11" i="2"/>
  <c r="B11" i="2"/>
  <c r="Q13" i="2"/>
  <c r="M13" i="2"/>
  <c r="B13" i="2"/>
  <c r="Q14" i="2"/>
  <c r="M14" i="2"/>
  <c r="B14" i="2"/>
  <c r="Q10" i="2"/>
  <c r="M10" i="2"/>
  <c r="B10" i="2"/>
  <c r="Q52" i="2" l="1"/>
  <c r="Q53" i="2" s="1"/>
</calcChain>
</file>

<file path=xl/sharedStrings.xml><?xml version="1.0" encoding="utf-8"?>
<sst xmlns="http://schemas.openxmlformats.org/spreadsheetml/2006/main" count="832" uniqueCount="266">
  <si>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</si>
  <si>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</si>
  <si>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</si>
  <si>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</si>
  <si>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</si>
  <si>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</si>
  <si>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</si>
  <si>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</si>
  <si>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</si>
  <si>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</si>
  <si>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</si>
  <si>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</si>
  <si>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</si>
  <si>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</si>
  <si>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</si>
  <si>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</si>
  <si>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Right Angle JST</t>
  </si>
  <si>
    <t>JST Right Angle</t>
  </si>
  <si>
    <t>Inductor</t>
  </si>
  <si>
    <t>LED</t>
  </si>
  <si>
    <t>Mosfet</t>
  </si>
  <si>
    <t>Resistor</t>
  </si>
  <si>
    <t>Slide Switch</t>
  </si>
  <si>
    <t>Switch</t>
  </si>
  <si>
    <t>IC</t>
  </si>
  <si>
    <t>Module</t>
  </si>
  <si>
    <t>Designator</t>
  </si>
  <si>
    <t>D1</t>
  </si>
  <si>
    <t>D2</t>
  </si>
  <si>
    <t>F1</t>
  </si>
  <si>
    <t>FB1</t>
  </si>
  <si>
    <t>J1</t>
  </si>
  <si>
    <t>J2, J4</t>
  </si>
  <si>
    <t>J3</t>
  </si>
  <si>
    <t>J5</t>
  </si>
  <si>
    <t>J6</t>
  </si>
  <si>
    <t>L1</t>
  </si>
  <si>
    <t>LED1</t>
  </si>
  <si>
    <t>LED2</t>
  </si>
  <si>
    <t>LED3</t>
  </si>
  <si>
    <t>Q1, Q2, Q3</t>
  </si>
  <si>
    <t>R1</t>
  </si>
  <si>
    <t>R2</t>
  </si>
  <si>
    <t>R3</t>
  </si>
  <si>
    <t>R4</t>
  </si>
  <si>
    <t>R5</t>
  </si>
  <si>
    <t>R6, R7, R10, R11, R12, R13, R21</t>
  </si>
  <si>
    <t>R8</t>
  </si>
  <si>
    <t>R9</t>
  </si>
  <si>
    <t>R14, R15, R16</t>
  </si>
  <si>
    <t>R17</t>
  </si>
  <si>
    <t>R18, R19, R20</t>
  </si>
  <si>
    <t>SW1</t>
  </si>
  <si>
    <t>SW2, SW3</t>
  </si>
  <si>
    <t>SW4</t>
  </si>
  <si>
    <t>U1</t>
  </si>
  <si>
    <t>U2</t>
  </si>
  <si>
    <t>U3</t>
  </si>
  <si>
    <t>U4</t>
  </si>
  <si>
    <t>U5</t>
  </si>
  <si>
    <t>U6</t>
  </si>
  <si>
    <t>Description</t>
  </si>
  <si>
    <t>CAP CER 1UF 25V X5R 0603</t>
  </si>
  <si>
    <t>CAP CER 1000PF 25V C0G/NPO 0603</t>
  </si>
  <si>
    <t>CAP CER 10000PF 50V C0G/NPO 0603</t>
  </si>
  <si>
    <t>CAP CER 0.1UF 50V X5R 0603</t>
  </si>
  <si>
    <t>25V 22uF X5R ±20% 0805 Multilayer Ceramic Capacitors MLCC - SMD/SMT ROHS</t>
  </si>
  <si>
    <t>CAP CER 10UF 16V X5R 0603</t>
  </si>
  <si>
    <t>TVS DIODE 5VWM 6.3VC DSN0603-2</t>
  </si>
  <si>
    <t>0.5mA@40V 40V Single 3A 0.55V@3A SMA(DO-214AC) Schottky Barrier Diodes (SBD) ROHS</t>
  </si>
  <si>
    <t>6V 2A 50A 1W -40℃~+85℃ 4A 4mΩ 5s 45mΩ 0805 Resettable Fuses ROHS</t>
  </si>
  <si>
    <t>FERRITE BEAD 120 OHM 0603 1LN</t>
  </si>
  <si>
    <t>Surface Mount DC Power Receptacle -20℃~+70℃ 2mm 6.4mm 2A 30V SMD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</si>
  <si>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</si>
  <si>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</si>
  <si>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1x3P 1 1.25mm Male pin 3 -40℃~+85℃ Surface Mount SMD,P=1.25mm Wire To Board / Wire To Wire Connector ROHS</t>
  </si>
  <si>
    <t>1x5P 1 1.25mm Male pin 5 -25℃~+85℃ Surface Mount SMD,P=1.25mm Wire To Board / Wire To Wire Connector ROHS</t>
  </si>
  <si>
    <t>22uH ±20% SMD Power Inductors ROHS</t>
  </si>
  <si>
    <t>Emerald 0603 Light Emitting Diodes (LED) ROHS</t>
  </si>
  <si>
    <t>0603 Light Emitting Diodes (LED) ROHS</t>
  </si>
  <si>
    <t>White light 0603 Light Emitting Diodes (LED) ROHS</t>
  </si>
  <si>
    <t>TRANS NPN 40V 0.6A SMD SOT23-3</t>
  </si>
  <si>
    <t>RES SMD 220 OHM 1% 1/10W 0603</t>
  </si>
  <si>
    <t>RES  SMD 330R 100 mW 0603</t>
  </si>
  <si>
    <t>RES SMD 3.3K OHM 1% 1/10W 0603</t>
  </si>
  <si>
    <t>RES SMD 5.1K OHM 5% 1/10W 0603</t>
  </si>
  <si>
    <t>RES 1.5K OHM 1% 1/10W 0603</t>
  </si>
  <si>
    <t>RES SMD 10K Ohm 1% 1/10W 0603</t>
  </si>
  <si>
    <t>RES SMD 62K OHM 0.1% 1/10W 0603</t>
  </si>
  <si>
    <t>RES SMD 3.16KOHM 0.1% 1/10W 0603</t>
  </si>
  <si>
    <t>RES 0 OHM JUMPER 1/10W 0603</t>
  </si>
  <si>
    <t>RES SMD 51R 100mW 0603</t>
  </si>
  <si>
    <t>Lying 1A SPDT 9.6mm 8.6mm 24V 3.6mm Black PCPin 10000 Rectangular columnar -25℃~+70℃ Plugin Slide Switches ROHS</t>
  </si>
  <si>
    <t>No NO 50mA 4.5mm 100000 260gf 12V -30℃~+85℃ 4.5mm 4.3mm Black Round Button Brick nogging SPST SMD Tactile Switches ROHS</t>
  </si>
  <si>
    <t>-20℃~+85℃ SMDSplicing Black Rectangle button 50mA Surface Mount SPST 100MΩ 100000 250gf@±50gf 12V SMD Tactile Switches ROHS</t>
  </si>
  <si>
    <t>ESOP-8 Battery Management ICs ROHS</t>
  </si>
  <si>
    <t>OR Controller N+1 ORing Controller N-Channel 2:1 SOT-583</t>
  </si>
  <si>
    <t>500-MA, LOW-NOISE, LOW-IQ, HIGH</t>
  </si>
  <si>
    <t>boost converterType 1 Boost 28V 2V~24V 1.2MHz SOT-23-6 DC-DC Converters ROHS</t>
  </si>
  <si>
    <t>Power Supply Support Circuit, Fixed, 1 Channel, +3.1V, CMOS, PDSO5</t>
  </si>
  <si>
    <t>SMD MODULE W/PCB ANT ESP-U4WDH</t>
  </si>
  <si>
    <t>Footprint</t>
  </si>
  <si>
    <t>Cap-0603</t>
  </si>
  <si>
    <t>CAP-0603</t>
  </si>
  <si>
    <t>Cap-0805</t>
  </si>
  <si>
    <t>DSN0603-2</t>
  </si>
  <si>
    <t>SMA</t>
  </si>
  <si>
    <t>Fuse-0805</t>
  </si>
  <si>
    <t>IND-0603 (1608 Metric)</t>
  </si>
  <si>
    <t>DC-050-B200</t>
  </si>
  <si>
    <t>1.25-2PWB</t>
  </si>
  <si>
    <t>1.25-3PWB</t>
  </si>
  <si>
    <t>1.25-5PWB</t>
  </si>
  <si>
    <t>SMRH74-220MT</t>
  </si>
  <si>
    <t>LED-0603</t>
  </si>
  <si>
    <t>SOT-23</t>
  </si>
  <si>
    <t>Res-0603</t>
  </si>
  <si>
    <t>SK-12D29-G060</t>
  </si>
  <si>
    <t>TS-1109S-C-B</t>
  </si>
  <si>
    <t>ESOP-8</t>
  </si>
  <si>
    <t>SOT-583</t>
  </si>
  <si>
    <t>4-WCSP (0.63x0.63)</t>
  </si>
  <si>
    <t>SOT-23-6</t>
  </si>
  <si>
    <t>SSOP-5-1.6mm</t>
  </si>
  <si>
    <t>ESP32-MINI-1-N4</t>
  </si>
  <si>
    <t>Manufacturer Part Number</t>
  </si>
  <si>
    <t>CC0603KRX5R8BB105</t>
  </si>
  <si>
    <t>CC0603JRNPO8BN102</t>
  </si>
  <si>
    <t>CC0603JRNPO9BN103</t>
  </si>
  <si>
    <t>CC0603KRX5R9BB104</t>
  </si>
  <si>
    <t>CS2012X5R226M250NRE</t>
  </si>
  <si>
    <t>CC0603KRX5R7BB106</t>
  </si>
  <si>
    <t>PESD5V0H1BSFYL</t>
  </si>
  <si>
    <t>SS34</t>
  </si>
  <si>
    <t>BSMD0805L-200</t>
  </si>
  <si>
    <t>BLM18SG121TN1D</t>
  </si>
  <si>
    <t>C145963</t>
  </si>
  <si>
    <t>NCD0603G2</t>
  </si>
  <si>
    <t>NCD0603R3</t>
  </si>
  <si>
    <t>NCD0603W3</t>
  </si>
  <si>
    <t>MMBT2222A-7-F</t>
  </si>
  <si>
    <t>RC0603FR-07220RL</t>
  </si>
  <si>
    <t>RC0603JR-07330RL</t>
  </si>
  <si>
    <t>RC0603FR-073K3L</t>
  </si>
  <si>
    <t>RC0603JR-075K1L</t>
  </si>
  <si>
    <t>RC0603FR-071K5L</t>
  </si>
  <si>
    <t>RC0603FR-0710KL</t>
  </si>
  <si>
    <t>RT0603BRD0762KL</t>
  </si>
  <si>
    <t>RT0603BRD073K16L</t>
  </si>
  <si>
    <t>RC0603JR-070RL</t>
  </si>
  <si>
    <t>RC0603FR-0751RL</t>
  </si>
  <si>
    <t>RC0603JR-071KL</t>
  </si>
  <si>
    <t>ST-1112RA-P</t>
  </si>
  <si>
    <t>TP4056-42-ESOP8</t>
  </si>
  <si>
    <t>LM66200DRLR</t>
  </si>
  <si>
    <t>TPS7A2133PYWDJ</t>
  </si>
  <si>
    <t>MT3608</t>
  </si>
  <si>
    <t>BU4231G-TR</t>
  </si>
  <si>
    <t>Manufacturer</t>
  </si>
  <si>
    <t>Yageo</t>
  </si>
  <si>
    <t>Samwha</t>
  </si>
  <si>
    <t>Nexperia</t>
  </si>
  <si>
    <t>MDD</t>
  </si>
  <si>
    <t>BHFUSE</t>
  </si>
  <si>
    <t>Murata</t>
  </si>
  <si>
    <t>XUNPU</t>
  </si>
  <si>
    <t>DEALON</t>
  </si>
  <si>
    <t>BOOMELE</t>
  </si>
  <si>
    <t>SXN(Shun Xiang Nuo Elec)</t>
  </si>
  <si>
    <t>Foshan NationStar Optoelectronics</t>
  </si>
  <si>
    <t>Diodes</t>
  </si>
  <si>
    <t>Yageo Phycomp</t>
  </si>
  <si>
    <t>G-Switch</t>
  </si>
  <si>
    <t>XKB Connectivity</t>
  </si>
  <si>
    <t>RI SHENG</t>
  </si>
  <si>
    <t>TOPPOWER</t>
  </si>
  <si>
    <t>Texas Instruments</t>
  </si>
  <si>
    <t>XI'AN Aerosemi Tech</t>
  </si>
  <si>
    <t>Rohm</t>
  </si>
  <si>
    <t>Espressif Systems</t>
  </si>
  <si>
    <t>LCSC Part Number</t>
  </si>
  <si>
    <t>C14664</t>
  </si>
  <si>
    <t>C389113</t>
  </si>
  <si>
    <t>C110022</t>
  </si>
  <si>
    <t>C513764</t>
  </si>
  <si>
    <t>C2936601</t>
  </si>
  <si>
    <t>C477989</t>
  </si>
  <si>
    <t>C8678</t>
  </si>
  <si>
    <t>C2757931</t>
  </si>
  <si>
    <t>C113030</t>
  </si>
  <si>
    <t>C720582</t>
  </si>
  <si>
    <t>C2905009</t>
  </si>
  <si>
    <t>C2905010</t>
  </si>
  <si>
    <t>C2905012</t>
  </si>
  <si>
    <t>C27442</t>
  </si>
  <si>
    <t>C87326</t>
  </si>
  <si>
    <t>C3151730</t>
  </si>
  <si>
    <t>C158100</t>
  </si>
  <si>
    <t>C94515</t>
  </si>
  <si>
    <t>C107696</t>
  </si>
  <si>
    <t>C105879</t>
  </si>
  <si>
    <t>C108078</t>
  </si>
  <si>
    <t>C14677</t>
  </si>
  <si>
    <t>C114668</t>
  </si>
  <si>
    <t>C98220</t>
  </si>
  <si>
    <t>C136961</t>
  </si>
  <si>
    <t>C861373</t>
  </si>
  <si>
    <t>C95177</t>
  </si>
  <si>
    <t>C114628</t>
  </si>
  <si>
    <t>C14676</t>
  </si>
  <si>
    <t>C2848877</t>
  </si>
  <si>
    <t>C381037</t>
  </si>
  <si>
    <t>C589180</t>
  </si>
  <si>
    <t>C16581</t>
  </si>
  <si>
    <t>C3235556</t>
  </si>
  <si>
    <t>C3019997</t>
  </si>
  <si>
    <t>C84817</t>
  </si>
  <si>
    <t>C253184</t>
  </si>
  <si>
    <t>C2980305</t>
  </si>
  <si>
    <t>1uF</t>
  </si>
  <si>
    <t>1nF</t>
  </si>
  <si>
    <t>10nF</t>
  </si>
  <si>
    <t>100nF</t>
  </si>
  <si>
    <t>22uF</t>
  </si>
  <si>
    <t>10uF</t>
  </si>
  <si>
    <t>220R</t>
  </si>
  <si>
    <t>330R</t>
  </si>
  <si>
    <t>3.3K</t>
  </si>
  <si>
    <t>5.1K</t>
  </si>
  <si>
    <t>1.5K</t>
  </si>
  <si>
    <t>10K</t>
  </si>
  <si>
    <t>62K</t>
  </si>
  <si>
    <t>3.16K</t>
  </si>
  <si>
    <t>0R</t>
  </si>
  <si>
    <t>51R</t>
  </si>
  <si>
    <t>1K</t>
  </si>
  <si>
    <t>Quantity</t>
  </si>
  <si>
    <t>Alternate Part Number</t>
  </si>
  <si>
    <t>Value</t>
  </si>
  <si>
    <t>Quantity (5 Boards)</t>
  </si>
  <si>
    <t>MOQ (5 Boards)</t>
  </si>
  <si>
    <t>Links</t>
  </si>
  <si>
    <t>Remarks</t>
  </si>
  <si>
    <t>Reviewer Remarks</t>
  </si>
  <si>
    <t>Unit Cost (5 Boards)</t>
  </si>
  <si>
    <t>Total Cost (5 Boards)</t>
  </si>
  <si>
    <t>-</t>
  </si>
  <si>
    <t>Custom</t>
  </si>
  <si>
    <t>LCSC</t>
  </si>
  <si>
    <t>RES 1K OHM 5% 1/10W 0603</t>
  </si>
  <si>
    <t>Bill of Materials for Project [IoT-Button]</t>
  </si>
  <si>
    <t>IoT-Button</t>
  </si>
  <si>
    <t>Quantity (2 Boards)</t>
  </si>
  <si>
    <t>MOQ (2 Boards)</t>
  </si>
  <si>
    <t>Unit Cost (2 Boards)</t>
  </si>
  <si>
    <t>Total Cost (2 Boards)</t>
  </si>
  <si>
    <t>C519404</t>
  </si>
  <si>
    <t>CC0603KRX7R8BB102</t>
  </si>
  <si>
    <t>C1, C3, C7, C10, C13, C19, C27</t>
  </si>
  <si>
    <t>C14</t>
  </si>
  <si>
    <t>C6, Cx4</t>
  </si>
  <si>
    <t>C8</t>
  </si>
  <si>
    <t>C5, C11, C12, Cx1, Cx2, Cx3, Cx6, Cx7, C18, C20, C25, C26</t>
  </si>
  <si>
    <t>R7, R11, R12, R13, R21, Rx1, Rx2</t>
  </si>
  <si>
    <t>C15, Cx8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</si>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</sst>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1" fillId="2" borderId="16" xfId="1" applyFill="1" applyBorder="1" applyAlignment="1">
      <alignment horizontal="center" vertical="center" wrapText="1"/>
    </xf>
    <xf numFmtId="0" fontId="21" fillId="2" borderId="17" xfId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21" fillId="2" borderId="16" xfId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2882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937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Wire-To-Board-Wire-To-Wire-Connector_DEALON-1-25-5PWB_C2905012.html" TargetMode="External"/><Relationship Id="rId18" Type="http://schemas.openxmlformats.org/officeDocument/2006/relationships/hyperlink" Target="https://www.lcsc.com/product-detail/Bipolar-Transistors-BJT_Diodes-Incorporated-MMBT2222A-7-F_C94515.html" TargetMode="External"/><Relationship Id="rId26" Type="http://schemas.openxmlformats.org/officeDocument/2006/relationships/hyperlink" Target="https://www.lcsc.com/product-detail/Chip-Resistor-Surface-Mount_YAGEO-RC0603FR-0751RL_C114628.html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lcsc.com/product-detail/Chip-Resistor-Surface-Mount_YAGEO-RC0603FR-071K5L_C114668.html" TargetMode="External"/><Relationship Id="rId34" Type="http://schemas.openxmlformats.org/officeDocument/2006/relationships/hyperlink" Target="https://www.lcsc.com/product-detail/DC-DC-Converters_XI-AN-Aerosemi-Tech-MT3608_C84817.html" TargetMode="External"/><Relationship Id="rId7" Type="http://schemas.openxmlformats.org/officeDocument/2006/relationships/hyperlink" Target="https://www.lcsc.com/product-detail/Schottky-Barrier-Diodes-SBD_MDD-Microdiode-Electronics-SS34_C8678.html" TargetMode="External"/><Relationship Id="rId12" Type="http://schemas.openxmlformats.org/officeDocument/2006/relationships/hyperlink" Target="https://www.lcsc.com/product-detail/Wire-To-Board-Wire-To-Wire-Connector_DEALON-1-25-3PWB_C2905010.html" TargetMode="External"/><Relationship Id="rId17" Type="http://schemas.openxmlformats.org/officeDocument/2006/relationships/hyperlink" Target="https://www.lcsc.com/product-detail/Light-Emitting-Diodes-LED_Foshan-NationStar-Optoelectronics-NCD0603W3_C158100.html" TargetMode="External"/><Relationship Id="rId25" Type="http://schemas.openxmlformats.org/officeDocument/2006/relationships/hyperlink" Target="https://www.lcsc.com/product-detail/Chip-Resistor-Surface-Mount_YAGEO-RC0603JR-070RL_C95177.html" TargetMode="External"/><Relationship Id="rId33" Type="http://schemas.openxmlformats.org/officeDocument/2006/relationships/hyperlink" Target="https://www.lcsc.com/product-detail/Linear-Voltage-Regulators-LDO_Texas-Instruments-TPS7A2133PYWDJ_C3019997.html" TargetMode="External"/><Relationship Id="rId38" Type="http://schemas.openxmlformats.org/officeDocument/2006/relationships/hyperlink" Target="https://www.lcsc.com/product-detail/AC-DC-Power-Connectors_XUNPU-DC-050-B200_C720582.html" TargetMode="External"/><Relationship Id="rId2" Type="http://schemas.openxmlformats.org/officeDocument/2006/relationships/hyperlink" Target="https://www.lcsc.com/product-detail/Multilayer-Ceramic-Capacitors-MLCC-SMD-SMT_YAGEO-CC0603JRNPO9BN103_C389113.html" TargetMode="External"/><Relationship Id="rId16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Chip-Resistor-Surface-Mount_YAGEO-RC0603JR-07330RL_C105879.html" TargetMode="External"/><Relationship Id="rId29" Type="http://schemas.openxmlformats.org/officeDocument/2006/relationships/hyperlink" Target="https://www.lcsc.com/product-detail/Tactile-Switches_XKB-Connectivity-TS-1109S-C-B_C381037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ESD-Protection-Devices_Nexperia-PESD5V0H1BSF_C477989.html" TargetMode="External"/><Relationship Id="rId11" Type="http://schemas.openxmlformats.org/officeDocument/2006/relationships/hyperlink" Target="https://www.lcsc.com/product-detail/Wire-To-Board-Wire-To-Wire-Connector_BOOMELE-Boom-Precision-Elec-C145963_C145963.html" TargetMode="External"/><Relationship Id="rId24" Type="http://schemas.openxmlformats.org/officeDocument/2006/relationships/hyperlink" Target="https://www.lcsc.com/product-detail/Chip-Resistor-Surface-Mount_YAGEO-RT0603BRD073K16L_C861373.html" TargetMode="External"/><Relationship Id="rId32" Type="http://schemas.openxmlformats.org/officeDocument/2006/relationships/hyperlink" Target="https://www.lcsc.com/product-detail/Power-Distribution-Switches_Texas-Instruments-LM66200DRLR_C3235556.html" TargetMode="External"/><Relationship Id="rId37" Type="http://schemas.openxmlformats.org/officeDocument/2006/relationships/hyperlink" Target="https://www.lcsc.com/product-detail/Multilayer-Ceramic-Capacitors-MLCC-SMD-SMT_YAGEO-CC0603KRX7R8BB102_C519404.html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CC0603KRX5R7BB106_C2936601.html" TargetMode="External"/><Relationship Id="rId15" Type="http://schemas.openxmlformats.org/officeDocument/2006/relationships/hyperlink" Target="https://www.lcsc.com/product-detail/Light-Emitting-Diodes-LED_Foshan-NationStar-Optoelectronics-NCD0603G2_C87326.html" TargetMode="External"/><Relationship Id="rId23" Type="http://schemas.openxmlformats.org/officeDocument/2006/relationships/hyperlink" Target="https://www.lcsc.com/product-detail/Chip-Resistor-Surface-Mount_YAGEO-RT0603BRD0762KL_C136961.html" TargetMode="External"/><Relationship Id="rId28" Type="http://schemas.openxmlformats.org/officeDocument/2006/relationships/hyperlink" Target="https://www.lcsc.com/product-detail/Slide-Switches_G-Switch-SK-12D29-G060_C2848877.html" TargetMode="External"/><Relationship Id="rId36" Type="http://schemas.openxmlformats.org/officeDocument/2006/relationships/hyperlink" Target="https://www.lcsc.com/product-detail/WiFi-Modules_Espressif-Systems-ESP32-MINI-1-N4_C2980305.html" TargetMode="External"/><Relationship Id="rId10" Type="http://schemas.openxmlformats.org/officeDocument/2006/relationships/hyperlink" Target="https://www.lcsc.com/product-detail/Wire-To-Board-Wire-To-Wire-Connector_DEALON-1-25-2PWB_C2905009.html" TargetMode="External"/><Relationship Id="rId19" Type="http://schemas.openxmlformats.org/officeDocument/2006/relationships/hyperlink" Target="https://www.lcsc.com/product-detail/Chip-Resistor-Surface-Mount_YAGEO-RC0603FR-07220RL_C107696.html" TargetMode="External"/><Relationship Id="rId31" Type="http://schemas.openxmlformats.org/officeDocument/2006/relationships/hyperlink" Target="https://www.lcsc.com/product-detail/Battery-Management-ICs_TOPPOWER-Nanjing-Extension-Microelectronics-TP4056-42-ESOP8_C16581.html" TargetMode="External"/><Relationship Id="rId4" Type="http://schemas.openxmlformats.org/officeDocument/2006/relationships/hyperlink" Target="https://www.lcsc.com/product-detail/Multilayer-Ceramic-Capacitors-MLCC-SMD-SMT_Samwha-Capacitor-CS2012X5R226M250NRE_C513764.html" TargetMode="External"/><Relationship Id="rId9" Type="http://schemas.openxmlformats.org/officeDocument/2006/relationships/hyperlink" Target="https://www.lcsc.com/product-detail/Ferrite-Beads_Murata-Electronics-BLM18SG121TN1D_C113030.html" TargetMode="External"/><Relationship Id="rId14" Type="http://schemas.openxmlformats.org/officeDocument/2006/relationships/hyperlink" Target="https://www.lcsc.com/product-detail/Power-Inductors_SXN-Shun-Xiang-Nuo-Elec-SMRH74-220MT_C27442.html" TargetMode="External"/><Relationship Id="rId22" Type="http://schemas.openxmlformats.org/officeDocument/2006/relationships/hyperlink" Target="https://www.lcsc.com/product-detail/Chip-Resistor-Surface-Mount_YAGEO-RC0603FR-0710KL_C98220.html" TargetMode="External"/><Relationship Id="rId27" Type="http://schemas.openxmlformats.org/officeDocument/2006/relationships/hyperlink" Target="https://www.lcsc.com/product-detail/Chip-Resistor-Surface-Mount_YAGEO-RC0603JR-071KL_C14676.html" TargetMode="External"/><Relationship Id="rId30" Type="http://schemas.openxmlformats.org/officeDocument/2006/relationships/hyperlink" Target="https://www.lcsc.com/product-detail/Tactile-Switches_RI-SHENG-ST-1112RA-P_C589180.html" TargetMode="External"/><Relationship Id="rId35" Type="http://schemas.openxmlformats.org/officeDocument/2006/relationships/hyperlink" Target="https://www.lcsc.com/product-detail/Monitors-Reset-Circuits_ROHM-Semicon-BU4231G-TR_C253184.html" TargetMode="External"/><Relationship Id="rId8" Type="http://schemas.openxmlformats.org/officeDocument/2006/relationships/hyperlink" Target="https://www.lcsc.com/product-detail/Resettable-Fuses_BHFUSE-BSMD0805L-200_C2757931.html" TargetMode="External"/><Relationship Id="rId3" Type="http://schemas.openxmlformats.org/officeDocument/2006/relationships/hyperlink" Target="https://www.lcsc.com/product-detail/Multilayer-Ceramic-Capacitors-MLCC-SMD-SMT_YAGEO-CC0603KRX5R9BB104_C110022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Wire-To-Board-Wire-To-Wire-Connector_DEALON-1-25-5PWB_C2905012.html" TargetMode="External"/><Relationship Id="rId18" Type="http://schemas.openxmlformats.org/officeDocument/2006/relationships/hyperlink" Target="https://www.lcsc.com/product-detail/Bipolar-Transistors-BJT_Diodes-Incorporated-MMBT2222A-7-F_C94515.html" TargetMode="External"/><Relationship Id="rId26" Type="http://schemas.openxmlformats.org/officeDocument/2006/relationships/hyperlink" Target="https://www.lcsc.com/product-detail/Chip-Resistor-Surface-Mount_YAGEO-RT0603BRD073K16L_C861373.html" TargetMode="External"/><Relationship Id="rId39" Type="http://schemas.openxmlformats.org/officeDocument/2006/relationships/hyperlink" Target="https://www.lcsc.com/product-detail/Multilayer-Ceramic-Capacitors-MLCC-SMD-SMT_YAGEO-CC0603KRX7R8BB102_C519404.html" TargetMode="External"/><Relationship Id="rId21" Type="http://schemas.openxmlformats.org/officeDocument/2006/relationships/hyperlink" Target="https://www.lcsc.com/product-detail/Chip-Resistor-Surface-Mount_YAGEO-RC0603FR-073K3L_C108078.html" TargetMode="External"/><Relationship Id="rId34" Type="http://schemas.openxmlformats.org/officeDocument/2006/relationships/hyperlink" Target="https://www.lcsc.com/product-detail/Power-Distribution-Switches_Texas-Instruments-LM66200DRLR_C3235556.html" TargetMode="External"/><Relationship Id="rId7" Type="http://schemas.openxmlformats.org/officeDocument/2006/relationships/hyperlink" Target="https://www.lcsc.com/product-detail/Schottky-Barrier-Diodes-SBD_MDD-Microdiode-Electronics-SS34_C8678.html" TargetMode="External"/><Relationship Id="rId2" Type="http://schemas.openxmlformats.org/officeDocument/2006/relationships/hyperlink" Target="https://www.lcsc.com/product-detail/Multilayer-Ceramic-Capacitors-MLCC-SMD-SMT_YAGEO-CC0603JRNPO9BN103_C389113.html" TargetMode="External"/><Relationship Id="rId16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Chip-Resistor-Surface-Mount_YAGEO-RC0603JR-07330RL_C105879.html" TargetMode="External"/><Relationship Id="rId29" Type="http://schemas.openxmlformats.org/officeDocument/2006/relationships/hyperlink" Target="https://www.lcsc.com/product-detail/Chip-Resistor-Surface-Mount_YAGEO-RC0603JR-071KL_C14676.html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ESD-Protection-Devices_Nexperia-PESD5V0H1BSF_C477989.html" TargetMode="External"/><Relationship Id="rId11" Type="http://schemas.openxmlformats.org/officeDocument/2006/relationships/hyperlink" Target="https://www.lcsc.com/product-detail/Wire-To-Board-Wire-To-Wire-Connector_BOOMELE-Boom-Precision-Elec-C145963_C145963.html" TargetMode="External"/><Relationship Id="rId24" Type="http://schemas.openxmlformats.org/officeDocument/2006/relationships/hyperlink" Target="https://www.lcsc.com/product-detail/Chip-Resistor-Surface-Mount_YAGEO-RC0603FR-0710KL_C98220.html" TargetMode="External"/><Relationship Id="rId32" Type="http://schemas.openxmlformats.org/officeDocument/2006/relationships/hyperlink" Target="https://www.lcsc.com/product-detail/Tactile-Switches_RI-SHENG-ST-1112RA-P_C589180.html" TargetMode="External"/><Relationship Id="rId37" Type="http://schemas.openxmlformats.org/officeDocument/2006/relationships/hyperlink" Target="https://www.lcsc.com/product-detail/Monitors-Reset-Circuits_ROHM-Semicon-BU4231G-TR_C253184.html" TargetMode="External"/><Relationship Id="rId40" Type="http://schemas.openxmlformats.org/officeDocument/2006/relationships/hyperlink" Target="https://www.lcsc.com/product-detail/AC-DC-Power-Connectors_XUNPU-DC-050-B200_C720582.html" TargetMode="External"/><Relationship Id="rId5" Type="http://schemas.openxmlformats.org/officeDocument/2006/relationships/hyperlink" Target="https://www.lcsc.com/product-detail/Multilayer-Ceramic-Capacitors-MLCC-SMD-SMT_YAGEO-CC0603KRX5R7BB106_C2936601.html" TargetMode="External"/><Relationship Id="rId15" Type="http://schemas.openxmlformats.org/officeDocument/2006/relationships/hyperlink" Target="https://www.lcsc.com/product-detail/Light-Emitting-Diodes-LED_Foshan-NationStar-Optoelectronics-NCD0603G2_C87326.html" TargetMode="External"/><Relationship Id="rId23" Type="http://schemas.openxmlformats.org/officeDocument/2006/relationships/hyperlink" Target="https://www.lcsc.com/product-detail/Chip-Resistor-Surface-Mount_YAGEO-RC0603FR-071K5L_C114668.html" TargetMode="External"/><Relationship Id="rId28" Type="http://schemas.openxmlformats.org/officeDocument/2006/relationships/hyperlink" Target="https://www.lcsc.com/product-detail/Chip-Resistor-Surface-Mount_YAGEO-RC0603FR-0751RL_C114628.html" TargetMode="External"/><Relationship Id="rId36" Type="http://schemas.openxmlformats.org/officeDocument/2006/relationships/hyperlink" Target="https://www.lcsc.com/product-detail/DC-DC-Converters_XI-AN-Aerosemi-Tech-MT3608_C84817.html" TargetMode="External"/><Relationship Id="rId10" Type="http://schemas.openxmlformats.org/officeDocument/2006/relationships/hyperlink" Target="https://www.lcsc.com/product-detail/Wire-To-Board-Wire-To-Wire-Connector_DEALON-1-25-2PWB_C2905009.html" TargetMode="External"/><Relationship Id="rId19" Type="http://schemas.openxmlformats.org/officeDocument/2006/relationships/hyperlink" Target="https://www.lcsc.com/product-detail/Chip-Resistor-Surface-Mount_YAGEO-RC0603FR-07220RL_C107696.html" TargetMode="External"/><Relationship Id="rId31" Type="http://schemas.openxmlformats.org/officeDocument/2006/relationships/hyperlink" Target="https://www.lcsc.com/product-detail/Tactile-Switches_XKB-Connectivity-TS-1109S-C-B_C381037.html" TargetMode="External"/><Relationship Id="rId4" Type="http://schemas.openxmlformats.org/officeDocument/2006/relationships/hyperlink" Target="https://www.lcsc.com/product-detail/Multilayer-Ceramic-Capacitors-MLCC-SMD-SMT_Samwha-Capacitor-CS2012X5R226M250NRE_C513764.html" TargetMode="External"/><Relationship Id="rId9" Type="http://schemas.openxmlformats.org/officeDocument/2006/relationships/hyperlink" Target="https://www.lcsc.com/product-detail/Ferrite-Beads_Murata-Electronics-BLM18SG121TN1D_C113030.html" TargetMode="External"/><Relationship Id="rId14" Type="http://schemas.openxmlformats.org/officeDocument/2006/relationships/hyperlink" Target="https://www.lcsc.com/product-detail/Power-Inductors_SXN-Shun-Xiang-Nuo-Elec-SMRH74-220MT_C27442.html" TargetMode="External"/><Relationship Id="rId22" Type="http://schemas.openxmlformats.org/officeDocument/2006/relationships/hyperlink" Target="https://www.lcsc.com/product-detail/Chip-Resistor-Surface-Mount_YAGEO-RC0603JR-075K1L_C14677.html" TargetMode="External"/><Relationship Id="rId27" Type="http://schemas.openxmlformats.org/officeDocument/2006/relationships/hyperlink" Target="https://www.lcsc.com/product-detail/Chip-Resistor-Surface-Mount_YAGEO-RC0603JR-070RL_C95177.html" TargetMode="External"/><Relationship Id="rId30" Type="http://schemas.openxmlformats.org/officeDocument/2006/relationships/hyperlink" Target="https://www.lcsc.com/product-detail/Slide-Switches_G-Switch-SK-12D29-G060_C2848877.html" TargetMode="External"/><Relationship Id="rId35" Type="http://schemas.openxmlformats.org/officeDocument/2006/relationships/hyperlink" Target="https://www.lcsc.com/product-detail/Linear-Voltage-Regulators-LDO_Texas-Instruments-TPS7A2133PYWDJ_C3019997.html" TargetMode="External"/><Relationship Id="rId8" Type="http://schemas.openxmlformats.org/officeDocument/2006/relationships/hyperlink" Target="https://www.lcsc.com/product-detail/Resettable-Fuses_BHFUSE-BSMD0805L-200_C2757931.html" TargetMode="External"/><Relationship Id="rId3" Type="http://schemas.openxmlformats.org/officeDocument/2006/relationships/hyperlink" Target="https://www.lcsc.com/product-detail/Multilayer-Ceramic-Capacitors-MLCC-SMD-SMT_YAGEO-CC0603KRX5R9BB104_C110022.html" TargetMode="External"/><Relationship Id="rId12" Type="http://schemas.openxmlformats.org/officeDocument/2006/relationships/hyperlink" Target="https://www.lcsc.com/product-detail/Wire-To-Board-Wire-To-Wire-Connector_DEALON-1-25-3PWB_C2905010.html" TargetMode="External"/><Relationship Id="rId17" Type="http://schemas.openxmlformats.org/officeDocument/2006/relationships/hyperlink" Target="https://www.lcsc.com/product-detail/Light-Emitting-Diodes-LED_Foshan-NationStar-Optoelectronics-NCD0603W3_C158100.html" TargetMode="External"/><Relationship Id="rId25" Type="http://schemas.openxmlformats.org/officeDocument/2006/relationships/hyperlink" Target="https://www.lcsc.com/product-detail/Chip-Resistor-Surface-Mount_YAGEO-RT0603BRD0762KL_C136961.html" TargetMode="External"/><Relationship Id="rId33" Type="http://schemas.openxmlformats.org/officeDocument/2006/relationships/hyperlink" Target="https://www.lcsc.com/product-detail/Battery-Management-ICs_TOPPOWER-Nanjing-Extension-Microelectronics-TP4056-42-ESOP8_C16581.html" TargetMode="External"/><Relationship Id="rId38" Type="http://schemas.openxmlformats.org/officeDocument/2006/relationships/hyperlink" Target="https://www.lcsc.com/product-detail/WiFi-Modules_Espressif-Systems-ESP32-MINI-1-N4_C29803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1"/>
  <sheetViews>
    <sheetView topLeftCell="B5" workbookViewId="0">
      <selection activeCell="I14" sqref="I14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3.570312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5"/>
      <c r="L1" s="75"/>
      <c r="M1" s="75"/>
      <c r="N1" s="75"/>
      <c r="O1" s="75"/>
      <c r="P1" s="75"/>
      <c r="Q1" s="75"/>
      <c r="R1" s="75"/>
      <c r="S1" s="76"/>
    </row>
    <row r="2" spans="1:19" ht="32.25" thickBot="1" x14ac:dyDescent="0.3">
      <c r="A2" s="1"/>
      <c r="B2" s="21"/>
      <c r="C2" s="31"/>
      <c r="D2" s="11" t="s">
        <v>0</v>
      </c>
      <c r="E2" s="11"/>
      <c r="F2" s="52" t="s">
        <v>250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3" t="s">
        <v>251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7"/>
    </row>
    <row r="4" spans="1:19" x14ac:dyDescent="0.25">
      <c r="A4" s="1"/>
      <c r="B4" s="22"/>
      <c r="C4" s="32"/>
      <c r="D4" s="13" t="s">
        <v>2</v>
      </c>
      <c r="E4" s="13"/>
      <c r="F4" s="54" t="s">
        <v>251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8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8"/>
    </row>
    <row r="9" spans="1:19" ht="15.75" thickBot="1" x14ac:dyDescent="0.3">
      <c r="A9" s="1"/>
      <c r="B9" s="30" t="s">
        <v>4</v>
      </c>
      <c r="C9" s="30" t="s">
        <v>8</v>
      </c>
      <c r="D9" s="30" t="s">
        <v>26</v>
      </c>
      <c r="E9" s="30" t="s">
        <v>61</v>
      </c>
      <c r="F9" s="30" t="s">
        <v>101</v>
      </c>
      <c r="G9" s="30" t="s">
        <v>125</v>
      </c>
      <c r="H9" s="30" t="s">
        <v>158</v>
      </c>
      <c r="I9" s="30" t="s">
        <v>237</v>
      </c>
      <c r="J9" s="30" t="s">
        <v>180</v>
      </c>
      <c r="K9" s="30" t="s">
        <v>238</v>
      </c>
      <c r="L9" s="30" t="s">
        <v>236</v>
      </c>
      <c r="M9" s="30" t="s">
        <v>252</v>
      </c>
      <c r="N9" s="30" t="s">
        <v>253</v>
      </c>
      <c r="O9" s="30" t="s">
        <v>241</v>
      </c>
      <c r="P9" s="30" t="s">
        <v>254</v>
      </c>
      <c r="Q9" s="30" t="s">
        <v>255</v>
      </c>
      <c r="R9" s="30" t="s">
        <v>242</v>
      </c>
      <c r="S9" s="30" t="s">
        <v>243</v>
      </c>
    </row>
    <row r="10" spans="1:19" x14ac:dyDescent="0.25">
      <c r="A10" s="57"/>
      <c r="B10" s="46">
        <f>ROW(B10) - ROW($B$9)</f>
        <v>1</v>
      </c>
      <c r="C10" s="70" t="s">
        <v>9</v>
      </c>
      <c r="D10" s="37" t="s">
        <v>258</v>
      </c>
      <c r="E10" s="37" t="s">
        <v>62</v>
      </c>
      <c r="F10" s="37" t="s">
        <v>102</v>
      </c>
      <c r="G10" s="37" t="s">
        <v>126</v>
      </c>
      <c r="H10" s="37" t="s">
        <v>159</v>
      </c>
      <c r="I10" s="37" t="s">
        <v>246</v>
      </c>
      <c r="J10" s="37" t="s">
        <v>181</v>
      </c>
      <c r="K10" s="37" t="s">
        <v>219</v>
      </c>
      <c r="L10" s="37">
        <v>7</v>
      </c>
      <c r="M10" s="37">
        <f>L10*2</f>
        <v>14</v>
      </c>
      <c r="N10" s="37">
        <v>100</v>
      </c>
      <c r="O10" s="60" t="s">
        <v>248</v>
      </c>
      <c r="P10" s="38">
        <v>5.1999999999999998E-3</v>
      </c>
      <c r="Q10" s="38">
        <f>P10*N10</f>
        <v>0.52</v>
      </c>
      <c r="R10" s="37"/>
      <c r="S10" s="58"/>
    </row>
    <row r="11" spans="1:19" ht="24" x14ac:dyDescent="0.25">
      <c r="A11" s="57"/>
      <c r="B11" s="47">
        <f>ROW(B11) - ROW($B$9)</f>
        <v>2</v>
      </c>
      <c r="C11" s="71" t="s">
        <v>9</v>
      </c>
      <c r="D11" s="50" t="s">
        <v>262</v>
      </c>
      <c r="E11" s="50" t="s">
        <v>65</v>
      </c>
      <c r="F11" s="50" t="s">
        <v>102</v>
      </c>
      <c r="G11" s="50" t="s">
        <v>129</v>
      </c>
      <c r="H11" s="50" t="s">
        <v>159</v>
      </c>
      <c r="I11" s="50" t="s">
        <v>246</v>
      </c>
      <c r="J11" s="50" t="s">
        <v>183</v>
      </c>
      <c r="K11" s="50" t="s">
        <v>222</v>
      </c>
      <c r="L11" s="50">
        <v>12</v>
      </c>
      <c r="M11" s="37">
        <f>L11*2</f>
        <v>24</v>
      </c>
      <c r="N11" s="50">
        <v>100</v>
      </c>
      <c r="O11" s="61" t="s">
        <v>248</v>
      </c>
      <c r="P11" s="51">
        <v>3.7000000000000002E-3</v>
      </c>
      <c r="Q11" s="51">
        <f t="shared" ref="Q11" si="0">P11*N11</f>
        <v>0.37</v>
      </c>
      <c r="R11" s="50"/>
      <c r="S11" s="56"/>
    </row>
    <row r="12" spans="1:19" x14ac:dyDescent="0.25">
      <c r="A12" s="57"/>
      <c r="B12" s="46">
        <f>ROW(B12) - ROW($B$9)</f>
        <v>3</v>
      </c>
      <c r="C12" s="70" t="s">
        <v>9</v>
      </c>
      <c r="D12" s="37" t="s">
        <v>260</v>
      </c>
      <c r="E12" s="37" t="s">
        <v>67</v>
      </c>
      <c r="F12" s="37" t="s">
        <v>102</v>
      </c>
      <c r="G12" s="37" t="s">
        <v>131</v>
      </c>
      <c r="H12" s="37" t="s">
        <v>159</v>
      </c>
      <c r="I12" s="37" t="s">
        <v>246</v>
      </c>
      <c r="J12" s="37" t="s">
        <v>185</v>
      </c>
      <c r="K12" s="37" t="s">
        <v>224</v>
      </c>
      <c r="L12" s="37">
        <v>2</v>
      </c>
      <c r="M12" s="37">
        <f>L12*2</f>
        <v>4</v>
      </c>
      <c r="N12" s="37">
        <v>10</v>
      </c>
      <c r="O12" s="60" t="s">
        <v>248</v>
      </c>
      <c r="P12" s="38">
        <v>0.16370000000000001</v>
      </c>
      <c r="Q12" s="38">
        <f>P12*N12</f>
        <v>1.637</v>
      </c>
      <c r="R12" s="37"/>
      <c r="S12" s="56"/>
    </row>
    <row r="13" spans="1:19" x14ac:dyDescent="0.25">
      <c r="A13" s="57"/>
      <c r="B13" s="46">
        <f>ROW(B13) - ROW($B$9)</f>
        <v>4</v>
      </c>
      <c r="C13" s="70" t="s">
        <v>9</v>
      </c>
      <c r="D13" s="37" t="s">
        <v>261</v>
      </c>
      <c r="E13" s="37" t="s">
        <v>64</v>
      </c>
      <c r="F13" s="37" t="s">
        <v>102</v>
      </c>
      <c r="G13" s="37" t="s">
        <v>128</v>
      </c>
      <c r="H13" s="37" t="s">
        <v>159</v>
      </c>
      <c r="I13" s="37" t="s">
        <v>246</v>
      </c>
      <c r="J13" s="37" t="s">
        <v>182</v>
      </c>
      <c r="K13" s="37" t="s">
        <v>221</v>
      </c>
      <c r="L13" s="37">
        <v>1</v>
      </c>
      <c r="M13" s="37">
        <f>L13*2</f>
        <v>2</v>
      </c>
      <c r="N13" s="37">
        <v>50</v>
      </c>
      <c r="O13" s="60" t="s">
        <v>248</v>
      </c>
      <c r="P13" s="38">
        <v>1.5599999999999999E-2</v>
      </c>
      <c r="Q13" s="38">
        <f>P13*N13</f>
        <v>0.77999999999999992</v>
      </c>
      <c r="R13" s="37"/>
      <c r="S13" s="56"/>
    </row>
    <row r="14" spans="1:19" x14ac:dyDescent="0.25">
      <c r="A14" s="57"/>
      <c r="B14" s="47">
        <f t="shared" ref="B14:B46" si="1">ROW(B14) - ROW($B$9)</f>
        <v>5</v>
      </c>
      <c r="C14" s="70" t="s">
        <v>9</v>
      </c>
      <c r="D14" s="50" t="s">
        <v>259</v>
      </c>
      <c r="E14" s="50" t="s">
        <v>63</v>
      </c>
      <c r="F14" s="50" t="s">
        <v>103</v>
      </c>
      <c r="G14" s="62" t="s">
        <v>127</v>
      </c>
      <c r="H14" s="50" t="s">
        <v>159</v>
      </c>
      <c r="I14" s="50" t="s">
        <v>257</v>
      </c>
      <c r="J14" s="50" t="s">
        <v>256</v>
      </c>
      <c r="K14" s="50" t="s">
        <v>220</v>
      </c>
      <c r="L14" s="50">
        <v>1</v>
      </c>
      <c r="M14" s="37">
        <f t="shared" ref="M14:M47" si="2">L14*2</f>
        <v>2</v>
      </c>
      <c r="N14" s="50">
        <v>100</v>
      </c>
      <c r="O14" s="61" t="s">
        <v>248</v>
      </c>
      <c r="P14" s="51">
        <v>2.7000000000000001E-3</v>
      </c>
      <c r="Q14" s="51">
        <f t="shared" ref="Q14" si="3">P14*N14</f>
        <v>0.27</v>
      </c>
      <c r="R14" s="50"/>
      <c r="S14" s="50"/>
    </row>
    <row r="15" spans="1:19" ht="36" x14ac:dyDescent="0.25">
      <c r="A15" s="57"/>
      <c r="B15" s="46">
        <f>ROW(B15) - ROW($B$9)</f>
        <v>6</v>
      </c>
      <c r="C15" s="70" t="s">
        <v>9</v>
      </c>
      <c r="D15" s="73" t="s">
        <v>264</v>
      </c>
      <c r="E15" s="37" t="s">
        <v>66</v>
      </c>
      <c r="F15" s="37" t="s">
        <v>104</v>
      </c>
      <c r="G15" s="37" t="s">
        <v>130</v>
      </c>
      <c r="H15" s="37" t="s">
        <v>160</v>
      </c>
      <c r="I15" s="37" t="s">
        <v>246</v>
      </c>
      <c r="J15" s="37" t="s">
        <v>184</v>
      </c>
      <c r="K15" s="37" t="s">
        <v>223</v>
      </c>
      <c r="L15" s="37">
        <v>2</v>
      </c>
      <c r="M15" s="37">
        <f>L15*2</f>
        <v>4</v>
      </c>
      <c r="N15" s="37">
        <v>10</v>
      </c>
      <c r="O15" s="60" t="s">
        <v>248</v>
      </c>
      <c r="P15" s="38">
        <v>5.6300000000000003E-2</v>
      </c>
      <c r="Q15" s="38">
        <f>P15*N15</f>
        <v>0.56300000000000006</v>
      </c>
      <c r="R15" s="37"/>
      <c r="S15" s="56"/>
    </row>
    <row r="16" spans="1:19" x14ac:dyDescent="0.25">
      <c r="A16" s="57"/>
      <c r="B16" s="46">
        <f>ROW(B16) - ROW($B$9)</f>
        <v>7</v>
      </c>
      <c r="C16" s="70" t="s">
        <v>10</v>
      </c>
      <c r="D16" s="37" t="s">
        <v>27</v>
      </c>
      <c r="E16" s="37" t="s">
        <v>68</v>
      </c>
      <c r="F16" s="37" t="s">
        <v>105</v>
      </c>
      <c r="G16" s="37" t="s">
        <v>132</v>
      </c>
      <c r="H16" s="37" t="s">
        <v>161</v>
      </c>
      <c r="I16" s="37" t="s">
        <v>246</v>
      </c>
      <c r="J16" s="37" t="s">
        <v>186</v>
      </c>
      <c r="K16" s="37" t="s">
        <v>246</v>
      </c>
      <c r="L16" s="37">
        <v>1</v>
      </c>
      <c r="M16" s="37">
        <f t="shared" si="2"/>
        <v>2</v>
      </c>
      <c r="N16" s="37">
        <v>10</v>
      </c>
      <c r="O16" s="60" t="s">
        <v>248</v>
      </c>
      <c r="P16" s="38">
        <v>6.6000000000000003E-2</v>
      </c>
      <c r="Q16" s="38">
        <f>P16*N16</f>
        <v>0.66</v>
      </c>
      <c r="R16" s="37"/>
      <c r="S16" s="56"/>
    </row>
    <row r="17" spans="1:19" ht="36" x14ac:dyDescent="0.25">
      <c r="A17" s="57"/>
      <c r="B17" s="47">
        <f t="shared" si="1"/>
        <v>8</v>
      </c>
      <c r="C17" s="71" t="s">
        <v>10</v>
      </c>
      <c r="D17" s="50" t="s">
        <v>28</v>
      </c>
      <c r="E17" s="50" t="s">
        <v>69</v>
      </c>
      <c r="F17" s="50" t="s">
        <v>106</v>
      </c>
      <c r="G17" s="50" t="s">
        <v>133</v>
      </c>
      <c r="H17" s="50" t="s">
        <v>162</v>
      </c>
      <c r="I17" s="50" t="s">
        <v>246</v>
      </c>
      <c r="J17" s="50" t="s">
        <v>187</v>
      </c>
      <c r="K17" s="37" t="s">
        <v>246</v>
      </c>
      <c r="L17" s="50">
        <v>1</v>
      </c>
      <c r="M17" s="37">
        <f t="shared" si="2"/>
        <v>2</v>
      </c>
      <c r="N17" s="50">
        <v>20</v>
      </c>
      <c r="O17" s="61" t="s">
        <v>248</v>
      </c>
      <c r="P17" s="51">
        <v>3.32E-2</v>
      </c>
      <c r="Q17" s="51">
        <f t="shared" ref="Q17" si="4">P17*N17</f>
        <v>0.66400000000000003</v>
      </c>
      <c r="R17" s="50"/>
      <c r="S17" s="56"/>
    </row>
    <row r="18" spans="1:19" ht="24" x14ac:dyDescent="0.25">
      <c r="A18" s="57"/>
      <c r="B18" s="46">
        <f>ROW(B18) - ROW($B$9)</f>
        <v>9</v>
      </c>
      <c r="C18" s="70" t="s">
        <v>11</v>
      </c>
      <c r="D18" s="37" t="s">
        <v>29</v>
      </c>
      <c r="E18" s="37" t="s">
        <v>70</v>
      </c>
      <c r="F18" s="37" t="s">
        <v>107</v>
      </c>
      <c r="G18" s="37" t="s">
        <v>134</v>
      </c>
      <c r="H18" s="37" t="s">
        <v>163</v>
      </c>
      <c r="I18" s="37"/>
      <c r="J18" s="37" t="s">
        <v>188</v>
      </c>
      <c r="K18" s="37" t="s">
        <v>246</v>
      </c>
      <c r="L18" s="37">
        <v>1</v>
      </c>
      <c r="M18" s="37">
        <f t="shared" si="2"/>
        <v>2</v>
      </c>
      <c r="N18" s="37">
        <v>5</v>
      </c>
      <c r="O18" s="60" t="s">
        <v>248</v>
      </c>
      <c r="P18" s="38">
        <v>9.5100000000000004E-2</v>
      </c>
      <c r="Q18" s="38">
        <f>P18*N18</f>
        <v>0.47550000000000003</v>
      </c>
      <c r="R18" s="37"/>
      <c r="S18" s="56"/>
    </row>
    <row r="19" spans="1:19" x14ac:dyDescent="0.25">
      <c r="A19" s="57"/>
      <c r="B19" s="47">
        <f t="shared" si="1"/>
        <v>10</v>
      </c>
      <c r="C19" s="71" t="s">
        <v>12</v>
      </c>
      <c r="D19" s="50" t="s">
        <v>30</v>
      </c>
      <c r="E19" s="50" t="s">
        <v>71</v>
      </c>
      <c r="F19" s="50" t="s">
        <v>108</v>
      </c>
      <c r="G19" s="50" t="s">
        <v>135</v>
      </c>
      <c r="H19" s="50" t="s">
        <v>164</v>
      </c>
      <c r="I19" s="50" t="s">
        <v>246</v>
      </c>
      <c r="J19" s="50" t="s">
        <v>189</v>
      </c>
      <c r="K19" s="37" t="s">
        <v>246</v>
      </c>
      <c r="L19" s="50">
        <v>1</v>
      </c>
      <c r="M19" s="37">
        <f t="shared" si="2"/>
        <v>2</v>
      </c>
      <c r="N19" s="50">
        <v>20</v>
      </c>
      <c r="O19" s="61" t="s">
        <v>248</v>
      </c>
      <c r="P19" s="51">
        <v>3.2199999999999999E-2</v>
      </c>
      <c r="Q19" s="51">
        <f t="shared" ref="Q19" si="5">P19*N19</f>
        <v>0.64400000000000002</v>
      </c>
      <c r="R19" s="50"/>
      <c r="S19" s="56"/>
    </row>
    <row r="20" spans="1:19" ht="36" x14ac:dyDescent="0.25">
      <c r="A20" s="57"/>
      <c r="B20" s="46">
        <f>ROW(B20) - ROW($B$9)</f>
        <v>11</v>
      </c>
      <c r="C20" s="70" t="s">
        <v>13</v>
      </c>
      <c r="D20" s="37" t="s">
        <v>31</v>
      </c>
      <c r="E20" s="37" t="s">
        <v>72</v>
      </c>
      <c r="F20" s="37" t="s">
        <v>247</v>
      </c>
      <c r="G20" s="37" t="s">
        <v>109</v>
      </c>
      <c r="H20" s="37" t="s">
        <v>165</v>
      </c>
      <c r="I20" s="37" t="s">
        <v>246</v>
      </c>
      <c r="J20" s="37" t="s">
        <v>190</v>
      </c>
      <c r="K20" s="37" t="s">
        <v>246</v>
      </c>
      <c r="L20" s="37">
        <v>1</v>
      </c>
      <c r="M20" s="37">
        <f t="shared" si="2"/>
        <v>2</v>
      </c>
      <c r="N20" s="37">
        <v>5</v>
      </c>
      <c r="O20" s="60" t="s">
        <v>248</v>
      </c>
      <c r="P20" s="38">
        <v>0.18970000000000001</v>
      </c>
      <c r="Q20" s="38">
        <f>P20*N20</f>
        <v>0.94850000000000001</v>
      </c>
      <c r="R20" s="37"/>
      <c r="S20" s="56"/>
    </row>
    <row r="21" spans="1:19" ht="48" x14ac:dyDescent="0.25">
      <c r="A21" s="57"/>
      <c r="B21" s="47">
        <f t="shared" si="1"/>
        <v>12</v>
      </c>
      <c r="C21" s="71" t="s">
        <v>14</v>
      </c>
      <c r="D21" s="50" t="s">
        <v>32</v>
      </c>
      <c r="E21" s="50" t="s">
        <v>73</v>
      </c>
      <c r="F21" s="37" t="s">
        <v>247</v>
      </c>
      <c r="G21" s="50" t="s">
        <v>110</v>
      </c>
      <c r="H21" s="50" t="s">
        <v>166</v>
      </c>
      <c r="I21" s="50" t="s">
        <v>246</v>
      </c>
      <c r="J21" s="50" t="s">
        <v>191</v>
      </c>
      <c r="K21" s="37" t="s">
        <v>246</v>
      </c>
      <c r="L21" s="50">
        <v>2</v>
      </c>
      <c r="M21" s="37">
        <f t="shared" si="2"/>
        <v>4</v>
      </c>
      <c r="N21" s="50">
        <v>20</v>
      </c>
      <c r="O21" s="61" t="s">
        <v>248</v>
      </c>
      <c r="P21" s="51">
        <v>2.2499999999999999E-2</v>
      </c>
      <c r="Q21" s="51">
        <f t="shared" ref="Q21" si="6">P21*N21</f>
        <v>0.44999999999999996</v>
      </c>
      <c r="R21" s="50"/>
      <c r="S21" s="56"/>
    </row>
    <row r="22" spans="1:19" ht="24" x14ac:dyDescent="0.25">
      <c r="A22" s="57"/>
      <c r="B22" s="46">
        <f>ROW(B22) - ROW($B$9)</f>
        <v>13</v>
      </c>
      <c r="C22" s="70" t="s">
        <v>15</v>
      </c>
      <c r="D22" s="37" t="s">
        <v>33</v>
      </c>
      <c r="E22" s="37" t="s">
        <v>74</v>
      </c>
      <c r="F22" s="37" t="s">
        <v>247</v>
      </c>
      <c r="G22" s="37" t="s">
        <v>136</v>
      </c>
      <c r="H22" s="37" t="s">
        <v>167</v>
      </c>
      <c r="I22" s="37" t="s">
        <v>246</v>
      </c>
      <c r="J22" s="37" t="s">
        <v>136</v>
      </c>
      <c r="K22" s="37" t="s">
        <v>246</v>
      </c>
      <c r="L22" s="37">
        <v>1</v>
      </c>
      <c r="M22" s="37">
        <f t="shared" si="2"/>
        <v>2</v>
      </c>
      <c r="N22" s="37">
        <v>12</v>
      </c>
      <c r="O22" s="60" t="s">
        <v>248</v>
      </c>
      <c r="P22" s="38">
        <v>7.1999999999999995E-2</v>
      </c>
      <c r="Q22" s="38">
        <f>P22*N22</f>
        <v>0.86399999999999988</v>
      </c>
      <c r="R22" s="37"/>
      <c r="S22" s="56"/>
    </row>
    <row r="23" spans="1:19" ht="48" x14ac:dyDescent="0.25">
      <c r="A23" s="57"/>
      <c r="B23" s="47">
        <f t="shared" si="1"/>
        <v>14</v>
      </c>
      <c r="C23" s="71" t="s">
        <v>16</v>
      </c>
      <c r="D23" s="50" t="s">
        <v>34</v>
      </c>
      <c r="E23" s="50" t="s">
        <v>75</v>
      </c>
      <c r="F23" s="37" t="s">
        <v>247</v>
      </c>
      <c r="G23" s="50" t="s">
        <v>111</v>
      </c>
      <c r="H23" s="50" t="s">
        <v>166</v>
      </c>
      <c r="I23" s="50"/>
      <c r="J23" s="50" t="s">
        <v>192</v>
      </c>
      <c r="K23" s="37" t="s">
        <v>246</v>
      </c>
      <c r="L23" s="50">
        <v>1</v>
      </c>
      <c r="M23" s="37">
        <f t="shared" si="2"/>
        <v>2</v>
      </c>
      <c r="N23" s="50">
        <v>20</v>
      </c>
      <c r="O23" s="61" t="s">
        <v>248</v>
      </c>
      <c r="P23" s="51">
        <v>2.76E-2</v>
      </c>
      <c r="Q23" s="51">
        <f t="shared" ref="Q23" si="7">P23*N23</f>
        <v>0.55200000000000005</v>
      </c>
      <c r="R23" s="50"/>
      <c r="S23" s="56"/>
    </row>
    <row r="24" spans="1:19" ht="48" x14ac:dyDescent="0.25">
      <c r="A24" s="57"/>
      <c r="B24" s="46">
        <f>ROW(B24) - ROW($B$9)</f>
        <v>15</v>
      </c>
      <c r="C24" s="70" t="s">
        <v>17</v>
      </c>
      <c r="D24" s="37" t="s">
        <v>35</v>
      </c>
      <c r="E24" s="37" t="s">
        <v>76</v>
      </c>
      <c r="F24" s="37" t="s">
        <v>247</v>
      </c>
      <c r="G24" s="37" t="s">
        <v>112</v>
      </c>
      <c r="H24" s="37" t="s">
        <v>166</v>
      </c>
      <c r="I24" s="37"/>
      <c r="J24" s="37" t="s">
        <v>193</v>
      </c>
      <c r="K24" s="37" t="s">
        <v>246</v>
      </c>
      <c r="L24" s="37">
        <v>1</v>
      </c>
      <c r="M24" s="37">
        <f t="shared" si="2"/>
        <v>2</v>
      </c>
      <c r="N24" s="37">
        <v>10</v>
      </c>
      <c r="O24" s="60" t="s">
        <v>248</v>
      </c>
      <c r="P24" s="38">
        <v>3.4299999999999997E-2</v>
      </c>
      <c r="Q24" s="38">
        <f>P24*N24</f>
        <v>0.34299999999999997</v>
      </c>
      <c r="R24" s="37"/>
      <c r="S24" s="56"/>
    </row>
    <row r="25" spans="1:19" ht="24" x14ac:dyDescent="0.25">
      <c r="A25" s="57"/>
      <c r="B25" s="47">
        <f t="shared" si="1"/>
        <v>16</v>
      </c>
      <c r="C25" s="71" t="s">
        <v>18</v>
      </c>
      <c r="D25" s="50" t="s">
        <v>36</v>
      </c>
      <c r="E25" s="50" t="s">
        <v>77</v>
      </c>
      <c r="F25" s="37" t="s">
        <v>247</v>
      </c>
      <c r="G25" s="50" t="s">
        <v>113</v>
      </c>
      <c r="H25" s="50" t="s">
        <v>168</v>
      </c>
      <c r="I25" s="50"/>
      <c r="J25" s="50" t="s">
        <v>194</v>
      </c>
      <c r="K25" s="37" t="s">
        <v>246</v>
      </c>
      <c r="L25" s="50">
        <v>1</v>
      </c>
      <c r="M25" s="37">
        <f t="shared" si="2"/>
        <v>2</v>
      </c>
      <c r="N25" s="50">
        <v>5</v>
      </c>
      <c r="O25" s="61" t="s">
        <v>248</v>
      </c>
      <c r="P25" s="51">
        <v>0.20130000000000001</v>
      </c>
      <c r="Q25" s="51">
        <f t="shared" ref="Q25" si="8">P25*N25</f>
        <v>1.0065</v>
      </c>
      <c r="R25" s="50"/>
      <c r="S25" s="56"/>
    </row>
    <row r="26" spans="1:19" ht="24" x14ac:dyDescent="0.25">
      <c r="A26" s="57"/>
      <c r="B26" s="46">
        <f>ROW(B26) - ROW($B$9)</f>
        <v>17</v>
      </c>
      <c r="C26" s="70" t="s">
        <v>19</v>
      </c>
      <c r="D26" s="37" t="s">
        <v>37</v>
      </c>
      <c r="E26" s="37" t="s">
        <v>78</v>
      </c>
      <c r="F26" s="37" t="s">
        <v>114</v>
      </c>
      <c r="G26" s="37" t="s">
        <v>137</v>
      </c>
      <c r="H26" s="37" t="s">
        <v>169</v>
      </c>
      <c r="I26" s="37" t="s">
        <v>246</v>
      </c>
      <c r="J26" s="37" t="s">
        <v>195</v>
      </c>
      <c r="K26" s="37" t="s">
        <v>246</v>
      </c>
      <c r="L26" s="37">
        <v>1</v>
      </c>
      <c r="M26" s="37">
        <f t="shared" si="2"/>
        <v>2</v>
      </c>
      <c r="N26" s="37">
        <v>20</v>
      </c>
      <c r="O26" s="60" t="s">
        <v>248</v>
      </c>
      <c r="P26" s="38">
        <v>2.6499999999999999E-2</v>
      </c>
      <c r="Q26" s="38">
        <f>P26*N26</f>
        <v>0.53</v>
      </c>
      <c r="R26" s="37"/>
      <c r="S26" s="56"/>
    </row>
    <row r="27" spans="1:19" ht="24" x14ac:dyDescent="0.25">
      <c r="A27" s="57"/>
      <c r="B27" s="47">
        <f t="shared" si="1"/>
        <v>18</v>
      </c>
      <c r="C27" s="71" t="s">
        <v>19</v>
      </c>
      <c r="D27" s="50" t="s">
        <v>38</v>
      </c>
      <c r="E27" s="50" t="s">
        <v>79</v>
      </c>
      <c r="F27" s="50" t="s">
        <v>114</v>
      </c>
      <c r="G27" s="50" t="s">
        <v>138</v>
      </c>
      <c r="H27" s="50" t="s">
        <v>169</v>
      </c>
      <c r="I27" s="50" t="s">
        <v>246</v>
      </c>
      <c r="J27" s="50" t="s">
        <v>196</v>
      </c>
      <c r="K27" s="37" t="s">
        <v>246</v>
      </c>
      <c r="L27" s="50">
        <v>1</v>
      </c>
      <c r="M27" s="37">
        <f t="shared" si="2"/>
        <v>2</v>
      </c>
      <c r="N27" s="50">
        <v>20</v>
      </c>
      <c r="O27" s="61" t="s">
        <v>248</v>
      </c>
      <c r="P27" s="51">
        <v>2.3300000000000001E-2</v>
      </c>
      <c r="Q27" s="51">
        <f t="shared" ref="Q27" si="9">P27*N27</f>
        <v>0.46600000000000003</v>
      </c>
      <c r="R27" s="50"/>
      <c r="S27" s="56"/>
    </row>
    <row r="28" spans="1:19" ht="24" x14ac:dyDescent="0.25">
      <c r="A28" s="57"/>
      <c r="B28" s="46">
        <f>ROW(B28) - ROW($B$9)</f>
        <v>19</v>
      </c>
      <c r="C28" s="70" t="s">
        <v>19</v>
      </c>
      <c r="D28" s="37" t="s">
        <v>39</v>
      </c>
      <c r="E28" s="37" t="s">
        <v>80</v>
      </c>
      <c r="F28" s="37" t="s">
        <v>114</v>
      </c>
      <c r="G28" s="37" t="s">
        <v>139</v>
      </c>
      <c r="H28" s="37" t="s">
        <v>169</v>
      </c>
      <c r="I28" s="37" t="s">
        <v>246</v>
      </c>
      <c r="J28" s="37" t="s">
        <v>197</v>
      </c>
      <c r="K28" s="37" t="s">
        <v>246</v>
      </c>
      <c r="L28" s="37">
        <v>1</v>
      </c>
      <c r="M28" s="37">
        <f t="shared" si="2"/>
        <v>2</v>
      </c>
      <c r="N28" s="37">
        <v>20</v>
      </c>
      <c r="O28" s="60" t="s">
        <v>248</v>
      </c>
      <c r="P28" s="38">
        <v>3.2199999999999999E-2</v>
      </c>
      <c r="Q28" s="38">
        <f>P28*N28</f>
        <v>0.64400000000000002</v>
      </c>
      <c r="R28" s="37"/>
      <c r="S28" s="56"/>
    </row>
    <row r="29" spans="1:19" x14ac:dyDescent="0.25">
      <c r="A29" s="57"/>
      <c r="B29" s="46">
        <f>ROW(B29) - ROW($B$9)</f>
        <v>20</v>
      </c>
      <c r="C29" s="70" t="s">
        <v>20</v>
      </c>
      <c r="D29" s="37" t="s">
        <v>40</v>
      </c>
      <c r="E29" s="37" t="s">
        <v>81</v>
      </c>
      <c r="F29" s="37" t="s">
        <v>115</v>
      </c>
      <c r="G29" s="37" t="s">
        <v>140</v>
      </c>
      <c r="H29" s="37" t="s">
        <v>170</v>
      </c>
      <c r="I29" s="37" t="s">
        <v>246</v>
      </c>
      <c r="J29" s="37" t="s">
        <v>198</v>
      </c>
      <c r="K29" s="37" t="s">
        <v>246</v>
      </c>
      <c r="L29" s="37">
        <v>3</v>
      </c>
      <c r="M29" s="37">
        <f t="shared" si="2"/>
        <v>6</v>
      </c>
      <c r="N29" s="37">
        <v>20</v>
      </c>
      <c r="O29" s="60" t="s">
        <v>248</v>
      </c>
      <c r="P29" s="38">
        <v>3.49E-2</v>
      </c>
      <c r="Q29" s="38">
        <f>P29*N29</f>
        <v>0.69799999999999995</v>
      </c>
      <c r="R29" s="37"/>
      <c r="S29" s="56"/>
    </row>
    <row r="30" spans="1:19" x14ac:dyDescent="0.25">
      <c r="A30" s="57"/>
      <c r="B30" s="47">
        <f t="shared" si="1"/>
        <v>21</v>
      </c>
      <c r="C30" s="71" t="s">
        <v>21</v>
      </c>
      <c r="D30" s="50" t="s">
        <v>41</v>
      </c>
      <c r="E30" s="50" t="s">
        <v>82</v>
      </c>
      <c r="F30" s="50" t="s">
        <v>116</v>
      </c>
      <c r="G30" s="50" t="s">
        <v>141</v>
      </c>
      <c r="H30" s="50" t="s">
        <v>159</v>
      </c>
      <c r="I30" s="50" t="s">
        <v>246</v>
      </c>
      <c r="J30" s="50" t="s">
        <v>199</v>
      </c>
      <c r="K30" s="50" t="s">
        <v>225</v>
      </c>
      <c r="L30" s="50">
        <v>1</v>
      </c>
      <c r="M30" s="37">
        <f t="shared" si="2"/>
        <v>2</v>
      </c>
      <c r="N30" s="50">
        <v>100</v>
      </c>
      <c r="O30" s="61" t="s">
        <v>248</v>
      </c>
      <c r="P30" s="51">
        <v>1.1999999999999999E-3</v>
      </c>
      <c r="Q30" s="51">
        <f t="shared" ref="Q30" si="10">P30*N30</f>
        <v>0.12</v>
      </c>
      <c r="R30" s="50"/>
      <c r="S30" s="56"/>
    </row>
    <row r="31" spans="1:19" x14ac:dyDescent="0.25">
      <c r="A31" s="57"/>
      <c r="B31" s="46">
        <f>ROW(B31) - ROW($B$9)</f>
        <v>22</v>
      </c>
      <c r="C31" s="71" t="s">
        <v>21</v>
      </c>
      <c r="D31" s="37" t="s">
        <v>42</v>
      </c>
      <c r="E31" s="37" t="s">
        <v>83</v>
      </c>
      <c r="F31" s="37" t="s">
        <v>116</v>
      </c>
      <c r="G31" s="37" t="s">
        <v>142</v>
      </c>
      <c r="H31" s="37" t="s">
        <v>159</v>
      </c>
      <c r="I31" s="37" t="s">
        <v>246</v>
      </c>
      <c r="J31" s="37" t="s">
        <v>200</v>
      </c>
      <c r="K31" s="37" t="s">
        <v>226</v>
      </c>
      <c r="L31" s="37">
        <v>1</v>
      </c>
      <c r="M31" s="37">
        <f t="shared" si="2"/>
        <v>2</v>
      </c>
      <c r="N31" s="37">
        <v>100</v>
      </c>
      <c r="O31" s="60" t="s">
        <v>248</v>
      </c>
      <c r="P31" s="38">
        <v>1E-3</v>
      </c>
      <c r="Q31" s="38">
        <f>P31*N31</f>
        <v>0.1</v>
      </c>
      <c r="R31" s="37"/>
      <c r="S31" s="56"/>
    </row>
    <row r="32" spans="1:19" x14ac:dyDescent="0.25">
      <c r="A32" s="57"/>
      <c r="B32" s="47">
        <f t="shared" si="1"/>
        <v>23</v>
      </c>
      <c r="C32" s="71" t="s">
        <v>21</v>
      </c>
      <c r="D32" s="50" t="s">
        <v>45</v>
      </c>
      <c r="E32" s="50" t="s">
        <v>86</v>
      </c>
      <c r="F32" s="50" t="s">
        <v>116</v>
      </c>
      <c r="G32" s="50" t="s">
        <v>145</v>
      </c>
      <c r="H32" s="50" t="s">
        <v>159</v>
      </c>
      <c r="I32" s="50" t="s">
        <v>246</v>
      </c>
      <c r="J32" s="50" t="s">
        <v>203</v>
      </c>
      <c r="K32" s="50" t="s">
        <v>229</v>
      </c>
      <c r="L32" s="50">
        <v>1</v>
      </c>
      <c r="M32" s="37">
        <f t="shared" si="2"/>
        <v>2</v>
      </c>
      <c r="N32" s="50">
        <v>100</v>
      </c>
      <c r="O32" s="61" t="s">
        <v>248</v>
      </c>
      <c r="P32" s="51">
        <v>1.1999999999999999E-3</v>
      </c>
      <c r="Q32" s="51">
        <f t="shared" ref="Q32" si="11">P32*N32</f>
        <v>0.12</v>
      </c>
      <c r="R32" s="50"/>
      <c r="S32" s="56"/>
    </row>
    <row r="33" spans="1:19" x14ac:dyDescent="0.25">
      <c r="A33" s="57"/>
      <c r="B33" s="46">
        <f>ROW(B33) - ROW($B$9)</f>
        <v>24</v>
      </c>
      <c r="C33" s="71" t="s">
        <v>21</v>
      </c>
      <c r="D33" s="37" t="s">
        <v>263</v>
      </c>
      <c r="E33" s="37" t="s">
        <v>87</v>
      </c>
      <c r="F33" s="37" t="s">
        <v>116</v>
      </c>
      <c r="G33" s="37" t="s">
        <v>146</v>
      </c>
      <c r="H33" s="37" t="s">
        <v>159</v>
      </c>
      <c r="I33" s="37" t="s">
        <v>246</v>
      </c>
      <c r="J33" s="37" t="s">
        <v>204</v>
      </c>
      <c r="K33" s="37" t="s">
        <v>230</v>
      </c>
      <c r="L33" s="37">
        <v>7</v>
      </c>
      <c r="M33" s="37">
        <f t="shared" si="2"/>
        <v>14</v>
      </c>
      <c r="N33" s="37">
        <v>100</v>
      </c>
      <c r="O33" s="60" t="s">
        <v>248</v>
      </c>
      <c r="P33" s="38">
        <v>1E-3</v>
      </c>
      <c r="Q33" s="38">
        <f>P33*N33</f>
        <v>0.1</v>
      </c>
      <c r="R33" s="37"/>
      <c r="S33" s="56"/>
    </row>
    <row r="34" spans="1:19" x14ac:dyDescent="0.25">
      <c r="A34" s="57"/>
      <c r="B34" s="47">
        <f t="shared" si="1"/>
        <v>25</v>
      </c>
      <c r="C34" s="71" t="s">
        <v>21</v>
      </c>
      <c r="D34" s="50" t="s">
        <v>47</v>
      </c>
      <c r="E34" s="50" t="s">
        <v>88</v>
      </c>
      <c r="F34" s="50" t="s">
        <v>116</v>
      </c>
      <c r="G34" s="50" t="s">
        <v>147</v>
      </c>
      <c r="H34" s="50" t="s">
        <v>159</v>
      </c>
      <c r="I34" s="50" t="s">
        <v>246</v>
      </c>
      <c r="J34" s="50" t="s">
        <v>205</v>
      </c>
      <c r="K34" s="50" t="s">
        <v>231</v>
      </c>
      <c r="L34" s="50">
        <v>1</v>
      </c>
      <c r="M34" s="37">
        <f t="shared" si="2"/>
        <v>2</v>
      </c>
      <c r="N34" s="50">
        <v>20</v>
      </c>
      <c r="O34" s="61" t="s">
        <v>248</v>
      </c>
      <c r="P34" s="51">
        <v>2.9100000000000001E-2</v>
      </c>
      <c r="Q34" s="51">
        <f t="shared" ref="Q34" si="12">P34*N34</f>
        <v>0.58200000000000007</v>
      </c>
      <c r="R34" s="50"/>
      <c r="S34" s="56"/>
    </row>
    <row r="35" spans="1:19" x14ac:dyDescent="0.25">
      <c r="A35" s="63"/>
      <c r="B35" s="64">
        <f>ROW(B35) - ROW($B$9)</f>
        <v>26</v>
      </c>
      <c r="C35" s="72" t="s">
        <v>21</v>
      </c>
      <c r="D35" s="65" t="s">
        <v>48</v>
      </c>
      <c r="E35" s="65" t="s">
        <v>89</v>
      </c>
      <c r="F35" s="65" t="s">
        <v>116</v>
      </c>
      <c r="G35" s="65" t="s">
        <v>148</v>
      </c>
      <c r="H35" s="65" t="s">
        <v>159</v>
      </c>
      <c r="I35" s="65" t="s">
        <v>246</v>
      </c>
      <c r="J35" s="65" t="s">
        <v>206</v>
      </c>
      <c r="K35" s="65" t="s">
        <v>232</v>
      </c>
      <c r="L35" s="65">
        <v>1</v>
      </c>
      <c r="M35" s="37">
        <f t="shared" si="2"/>
        <v>2</v>
      </c>
      <c r="N35" s="65">
        <v>20</v>
      </c>
      <c r="O35" s="69" t="s">
        <v>248</v>
      </c>
      <c r="P35" s="66">
        <v>3.1099999999999999E-2</v>
      </c>
      <c r="Q35" s="66">
        <f>P35*N35</f>
        <v>0.622</v>
      </c>
      <c r="R35" s="65"/>
      <c r="S35" s="67"/>
    </row>
    <row r="36" spans="1:19" x14ac:dyDescent="0.25">
      <c r="A36" s="57"/>
      <c r="B36" s="47">
        <f t="shared" si="1"/>
        <v>27</v>
      </c>
      <c r="C36" s="71" t="s">
        <v>21</v>
      </c>
      <c r="D36" s="50" t="s">
        <v>49</v>
      </c>
      <c r="E36" s="50" t="s">
        <v>90</v>
      </c>
      <c r="F36" s="50" t="s">
        <v>116</v>
      </c>
      <c r="G36" s="50" t="s">
        <v>149</v>
      </c>
      <c r="H36" s="50" t="s">
        <v>159</v>
      </c>
      <c r="I36" s="50" t="s">
        <v>246</v>
      </c>
      <c r="J36" s="50" t="s">
        <v>207</v>
      </c>
      <c r="K36" s="50" t="s">
        <v>233</v>
      </c>
      <c r="L36" s="50">
        <v>3</v>
      </c>
      <c r="M36" s="37">
        <f t="shared" si="2"/>
        <v>6</v>
      </c>
      <c r="N36" s="50">
        <v>100</v>
      </c>
      <c r="O36" s="61" t="s">
        <v>248</v>
      </c>
      <c r="P36" s="51">
        <v>1.1000000000000001E-3</v>
      </c>
      <c r="Q36" s="51">
        <f t="shared" ref="Q36" si="13">P36*N36</f>
        <v>0.11</v>
      </c>
      <c r="R36" s="50"/>
      <c r="S36" s="56"/>
    </row>
    <row r="37" spans="1:19" x14ac:dyDescent="0.25">
      <c r="A37" s="57"/>
      <c r="B37" s="46">
        <f>ROW(B37) - ROW($B$9)</f>
        <v>28</v>
      </c>
      <c r="C37" s="71" t="s">
        <v>21</v>
      </c>
      <c r="D37" s="37" t="s">
        <v>50</v>
      </c>
      <c r="E37" s="37" t="s">
        <v>91</v>
      </c>
      <c r="F37" s="37" t="s">
        <v>116</v>
      </c>
      <c r="G37" s="37" t="s">
        <v>150</v>
      </c>
      <c r="H37" s="37" t="s">
        <v>159</v>
      </c>
      <c r="I37" s="37" t="s">
        <v>246</v>
      </c>
      <c r="J37" s="37" t="s">
        <v>208</v>
      </c>
      <c r="K37" s="37" t="s">
        <v>234</v>
      </c>
      <c r="L37" s="37">
        <v>1</v>
      </c>
      <c r="M37" s="37">
        <f t="shared" si="2"/>
        <v>2</v>
      </c>
      <c r="N37" s="37">
        <v>100</v>
      </c>
      <c r="O37" s="60" t="s">
        <v>248</v>
      </c>
      <c r="P37" s="38">
        <v>1.2999999999999999E-3</v>
      </c>
      <c r="Q37" s="38">
        <f>P37*N37</f>
        <v>0.13</v>
      </c>
      <c r="R37" s="37"/>
      <c r="S37" s="56"/>
    </row>
    <row r="38" spans="1:19" x14ac:dyDescent="0.25">
      <c r="A38" s="57"/>
      <c r="B38" s="47">
        <f t="shared" si="1"/>
        <v>29</v>
      </c>
      <c r="C38" s="71" t="s">
        <v>21</v>
      </c>
      <c r="D38" s="50" t="s">
        <v>51</v>
      </c>
      <c r="E38" s="50" t="s">
        <v>249</v>
      </c>
      <c r="F38" s="50" t="s">
        <v>116</v>
      </c>
      <c r="G38" s="50" t="s">
        <v>151</v>
      </c>
      <c r="H38" s="50" t="s">
        <v>159</v>
      </c>
      <c r="I38" s="50" t="s">
        <v>246</v>
      </c>
      <c r="J38" s="50" t="s">
        <v>209</v>
      </c>
      <c r="K38" s="50" t="s">
        <v>235</v>
      </c>
      <c r="L38" s="50">
        <v>3</v>
      </c>
      <c r="M38" s="37">
        <f t="shared" si="2"/>
        <v>6</v>
      </c>
      <c r="N38" s="50">
        <v>100</v>
      </c>
      <c r="O38" s="61" t="s">
        <v>248</v>
      </c>
      <c r="P38" s="51">
        <v>1E-3</v>
      </c>
      <c r="Q38" s="51">
        <f t="shared" ref="Q38" si="14">P38*N38</f>
        <v>0.1</v>
      </c>
      <c r="R38" s="50"/>
      <c r="S38" s="56"/>
    </row>
    <row r="39" spans="1:19" ht="48" x14ac:dyDescent="0.25">
      <c r="A39" s="57"/>
      <c r="B39" s="46">
        <f>ROW(B39) - ROW($B$9)</f>
        <v>30</v>
      </c>
      <c r="C39" s="70" t="s">
        <v>22</v>
      </c>
      <c r="D39" s="37" t="s">
        <v>52</v>
      </c>
      <c r="E39" s="37" t="s">
        <v>92</v>
      </c>
      <c r="F39" s="37" t="s">
        <v>247</v>
      </c>
      <c r="G39" s="37" t="s">
        <v>117</v>
      </c>
      <c r="H39" s="37" t="s">
        <v>172</v>
      </c>
      <c r="I39" s="37" t="s">
        <v>246</v>
      </c>
      <c r="J39" s="37" t="s">
        <v>210</v>
      </c>
      <c r="K39" s="37" t="s">
        <v>246</v>
      </c>
      <c r="L39" s="37">
        <v>1</v>
      </c>
      <c r="M39" s="37">
        <f t="shared" si="2"/>
        <v>2</v>
      </c>
      <c r="N39" s="37">
        <v>5</v>
      </c>
      <c r="O39" s="60" t="s">
        <v>248</v>
      </c>
      <c r="P39" s="38">
        <v>0.1002</v>
      </c>
      <c r="Q39" s="38">
        <f>P39*N39</f>
        <v>0.501</v>
      </c>
      <c r="R39" s="37"/>
      <c r="S39" s="56"/>
    </row>
    <row r="40" spans="1:19" ht="48" x14ac:dyDescent="0.25">
      <c r="A40" s="57"/>
      <c r="B40" s="47">
        <f t="shared" si="1"/>
        <v>31</v>
      </c>
      <c r="C40" s="71" t="s">
        <v>23</v>
      </c>
      <c r="D40" s="50" t="s">
        <v>53</v>
      </c>
      <c r="E40" s="50" t="s">
        <v>93</v>
      </c>
      <c r="F40" s="50" t="s">
        <v>247</v>
      </c>
      <c r="G40" s="50" t="s">
        <v>118</v>
      </c>
      <c r="H40" s="50" t="s">
        <v>173</v>
      </c>
      <c r="I40" s="50" t="s">
        <v>246</v>
      </c>
      <c r="J40" s="50" t="s">
        <v>211</v>
      </c>
      <c r="K40" s="37" t="s">
        <v>246</v>
      </c>
      <c r="L40" s="50">
        <v>2</v>
      </c>
      <c r="M40" s="37">
        <f t="shared" si="2"/>
        <v>4</v>
      </c>
      <c r="N40" s="50">
        <v>20</v>
      </c>
      <c r="O40" s="61" t="s">
        <v>248</v>
      </c>
      <c r="P40" s="51">
        <v>2.1499999999999998E-2</v>
      </c>
      <c r="Q40" s="51">
        <f t="shared" ref="Q40" si="15">P40*N40</f>
        <v>0.42999999999999994</v>
      </c>
      <c r="R40" s="50"/>
      <c r="S40" s="56"/>
    </row>
    <row r="41" spans="1:19" ht="60" x14ac:dyDescent="0.25">
      <c r="A41" s="57"/>
      <c r="B41" s="46">
        <f>ROW(B41) - ROW($B$9)</f>
        <v>32</v>
      </c>
      <c r="C41" s="71" t="s">
        <v>23</v>
      </c>
      <c r="D41" s="37" t="s">
        <v>54</v>
      </c>
      <c r="E41" s="37" t="s">
        <v>94</v>
      </c>
      <c r="F41" s="37" t="s">
        <v>247</v>
      </c>
      <c r="G41" s="37" t="s">
        <v>152</v>
      </c>
      <c r="H41" s="37" t="s">
        <v>174</v>
      </c>
      <c r="I41" s="37" t="s">
        <v>246</v>
      </c>
      <c r="J41" s="37" t="s">
        <v>212</v>
      </c>
      <c r="K41" s="37" t="s">
        <v>246</v>
      </c>
      <c r="L41" s="37">
        <v>1</v>
      </c>
      <c r="M41" s="37">
        <f t="shared" si="2"/>
        <v>2</v>
      </c>
      <c r="N41" s="37">
        <v>20</v>
      </c>
      <c r="O41" s="60" t="s">
        <v>248</v>
      </c>
      <c r="P41" s="38">
        <v>3.5299999999999998E-2</v>
      </c>
      <c r="Q41" s="38">
        <f>P41*N41</f>
        <v>0.70599999999999996</v>
      </c>
      <c r="R41" s="37"/>
      <c r="S41" s="56"/>
    </row>
    <row r="42" spans="1:19" x14ac:dyDescent="0.25">
      <c r="A42" s="57"/>
      <c r="B42" s="47">
        <f t="shared" si="1"/>
        <v>33</v>
      </c>
      <c r="C42" s="71" t="s">
        <v>20</v>
      </c>
      <c r="D42" s="50" t="s">
        <v>55</v>
      </c>
      <c r="E42" s="50" t="s">
        <v>95</v>
      </c>
      <c r="F42" s="50" t="s">
        <v>119</v>
      </c>
      <c r="G42" s="50" t="s">
        <v>153</v>
      </c>
      <c r="H42" s="50" t="s">
        <v>175</v>
      </c>
      <c r="I42" s="50" t="s">
        <v>246</v>
      </c>
      <c r="J42" s="50" t="s">
        <v>213</v>
      </c>
      <c r="K42" s="37" t="s">
        <v>246</v>
      </c>
      <c r="L42" s="50">
        <v>1</v>
      </c>
      <c r="M42" s="37">
        <f t="shared" si="2"/>
        <v>2</v>
      </c>
      <c r="N42" s="50">
        <v>5</v>
      </c>
      <c r="O42" s="61" t="s">
        <v>248</v>
      </c>
      <c r="P42" s="51">
        <v>0.2079</v>
      </c>
      <c r="Q42" s="51">
        <f t="shared" ref="Q42" si="16">P42*N42</f>
        <v>1.0395000000000001</v>
      </c>
      <c r="R42" s="50"/>
      <c r="S42" s="56"/>
    </row>
    <row r="43" spans="1:19" ht="24" x14ac:dyDescent="0.25">
      <c r="A43" s="57"/>
      <c r="B43" s="46">
        <f>ROW(B43) - ROW($B$9)</f>
        <v>34</v>
      </c>
      <c r="C43" s="70" t="s">
        <v>24</v>
      </c>
      <c r="D43" s="37" t="s">
        <v>56</v>
      </c>
      <c r="E43" s="37" t="s">
        <v>96</v>
      </c>
      <c r="F43" s="37" t="s">
        <v>120</v>
      </c>
      <c r="G43" s="37" t="s">
        <v>154</v>
      </c>
      <c r="H43" s="37" t="s">
        <v>176</v>
      </c>
      <c r="I43" s="37" t="s">
        <v>246</v>
      </c>
      <c r="J43" s="37" t="s">
        <v>214</v>
      </c>
      <c r="K43" s="37" t="s">
        <v>246</v>
      </c>
      <c r="L43" s="37">
        <v>1</v>
      </c>
      <c r="M43" s="37">
        <f t="shared" si="2"/>
        <v>2</v>
      </c>
      <c r="N43" s="37">
        <v>3</v>
      </c>
      <c r="O43" s="60" t="s">
        <v>248</v>
      </c>
      <c r="P43" s="38">
        <v>0.45979999999999999</v>
      </c>
      <c r="Q43" s="38">
        <f>P43*N43</f>
        <v>1.3794</v>
      </c>
      <c r="R43" s="37"/>
      <c r="S43" s="56"/>
    </row>
    <row r="44" spans="1:19" x14ac:dyDescent="0.25">
      <c r="A44" s="57"/>
      <c r="B44" s="47">
        <f t="shared" si="1"/>
        <v>35</v>
      </c>
      <c r="C44" s="71" t="s">
        <v>24</v>
      </c>
      <c r="D44" s="50" t="s">
        <v>57</v>
      </c>
      <c r="E44" s="50" t="s">
        <v>97</v>
      </c>
      <c r="F44" s="50" t="s">
        <v>121</v>
      </c>
      <c r="G44" s="50" t="s">
        <v>155</v>
      </c>
      <c r="H44" s="50" t="s">
        <v>176</v>
      </c>
      <c r="I44" s="50" t="s">
        <v>246</v>
      </c>
      <c r="J44" s="50" t="s">
        <v>215</v>
      </c>
      <c r="K44" s="37" t="s">
        <v>246</v>
      </c>
      <c r="L44" s="50">
        <v>1</v>
      </c>
      <c r="M44" s="37">
        <f t="shared" si="2"/>
        <v>2</v>
      </c>
      <c r="N44" s="50">
        <v>3</v>
      </c>
      <c r="O44" s="61" t="s">
        <v>248</v>
      </c>
      <c r="P44" s="51">
        <v>0.54569999999999996</v>
      </c>
      <c r="Q44" s="51">
        <f t="shared" ref="Q44" si="17">P44*N44</f>
        <v>1.6370999999999998</v>
      </c>
      <c r="R44" s="50"/>
      <c r="S44" s="56"/>
    </row>
    <row r="45" spans="1:19" ht="36" x14ac:dyDescent="0.25">
      <c r="A45" s="57"/>
      <c r="B45" s="46">
        <f>ROW(B45) - ROW($B$9)</f>
        <v>36</v>
      </c>
      <c r="C45" s="70" t="s">
        <v>24</v>
      </c>
      <c r="D45" s="37" t="s">
        <v>58</v>
      </c>
      <c r="E45" s="37" t="s">
        <v>98</v>
      </c>
      <c r="F45" s="37" t="s">
        <v>122</v>
      </c>
      <c r="G45" s="37" t="s">
        <v>156</v>
      </c>
      <c r="H45" s="37" t="s">
        <v>177</v>
      </c>
      <c r="I45" s="37" t="s">
        <v>246</v>
      </c>
      <c r="J45" s="37" t="s">
        <v>216</v>
      </c>
      <c r="K45" s="37" t="s">
        <v>246</v>
      </c>
      <c r="L45" s="37">
        <v>1</v>
      </c>
      <c r="M45" s="37">
        <f t="shared" si="2"/>
        <v>2</v>
      </c>
      <c r="N45" s="37">
        <v>5</v>
      </c>
      <c r="O45" s="60" t="s">
        <v>248</v>
      </c>
      <c r="P45" s="38">
        <v>9.8400000000000001E-2</v>
      </c>
      <c r="Q45" s="38">
        <f>P45*N45</f>
        <v>0.49199999999999999</v>
      </c>
      <c r="R45" s="37"/>
      <c r="S45" s="56"/>
    </row>
    <row r="46" spans="1:19" ht="24" x14ac:dyDescent="0.25">
      <c r="A46" s="57"/>
      <c r="B46" s="47">
        <f t="shared" si="1"/>
        <v>37</v>
      </c>
      <c r="C46" s="71" t="s">
        <v>24</v>
      </c>
      <c r="D46" s="50" t="s">
        <v>59</v>
      </c>
      <c r="E46" s="50" t="s">
        <v>99</v>
      </c>
      <c r="F46" s="50" t="s">
        <v>123</v>
      </c>
      <c r="G46" s="50" t="s">
        <v>157</v>
      </c>
      <c r="H46" s="50" t="s">
        <v>178</v>
      </c>
      <c r="I46" s="50" t="s">
        <v>246</v>
      </c>
      <c r="J46" s="50" t="s">
        <v>217</v>
      </c>
      <c r="K46" s="37" t="s">
        <v>246</v>
      </c>
      <c r="L46" s="50">
        <v>1</v>
      </c>
      <c r="M46" s="37">
        <f t="shared" si="2"/>
        <v>2</v>
      </c>
      <c r="N46" s="50">
        <v>3</v>
      </c>
      <c r="O46" s="61" t="s">
        <v>248</v>
      </c>
      <c r="P46" s="51">
        <v>0.16209999999999999</v>
      </c>
      <c r="Q46" s="51">
        <f t="shared" ref="Q46" si="18">P46*N46</f>
        <v>0.48629999999999995</v>
      </c>
      <c r="R46" s="50"/>
      <c r="S46" s="56"/>
    </row>
    <row r="47" spans="1:19" ht="15.75" thickBot="1" x14ac:dyDescent="0.3">
      <c r="A47" s="57"/>
      <c r="B47" s="46">
        <f>ROW(B47) - ROW($B$9)</f>
        <v>38</v>
      </c>
      <c r="C47" s="70" t="s">
        <v>25</v>
      </c>
      <c r="D47" s="37" t="s">
        <v>60</v>
      </c>
      <c r="E47" s="37" t="s">
        <v>100</v>
      </c>
      <c r="F47" s="37" t="s">
        <v>247</v>
      </c>
      <c r="G47" s="37" t="s">
        <v>124</v>
      </c>
      <c r="H47" s="37" t="s">
        <v>179</v>
      </c>
      <c r="I47" s="37" t="s">
        <v>246</v>
      </c>
      <c r="J47" s="37" t="s">
        <v>218</v>
      </c>
      <c r="K47" s="37" t="s">
        <v>246</v>
      </c>
      <c r="L47" s="37">
        <v>1</v>
      </c>
      <c r="M47" s="37">
        <f t="shared" si="2"/>
        <v>2</v>
      </c>
      <c r="N47" s="37">
        <v>3</v>
      </c>
      <c r="O47" s="60" t="s">
        <v>248</v>
      </c>
      <c r="P47" s="38">
        <v>2.8589000000000002</v>
      </c>
      <c r="Q47" s="38">
        <f>P47*N47</f>
        <v>8.5767000000000007</v>
      </c>
      <c r="R47" s="37"/>
      <c r="S47" s="39"/>
    </row>
    <row r="48" spans="1:19" ht="15.75" thickBot="1" x14ac:dyDescent="0.3">
      <c r="A48" s="57"/>
      <c r="B48" s="46">
        <f t="shared" ref="B48:B49" si="19">ROW(B48) - ROW($B$9)</f>
        <v>39</v>
      </c>
      <c r="C48" s="70" t="s">
        <v>265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60"/>
      <c r="P48" s="38"/>
      <c r="Q48" s="38"/>
      <c r="R48" s="37"/>
      <c r="S48" s="39"/>
    </row>
    <row r="49" spans="1:19" ht="15.75" thickBot="1" x14ac:dyDescent="0.3">
      <c r="A49" s="57"/>
      <c r="B49" s="46">
        <f t="shared" si="19"/>
        <v>40</v>
      </c>
      <c r="C49" s="70" t="s">
        <v>265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60"/>
      <c r="P49" s="38"/>
      <c r="Q49" s="38"/>
      <c r="R49" s="37"/>
      <c r="S49" s="39"/>
    </row>
    <row r="50" spans="1:19" ht="19.5" thickBot="1" x14ac:dyDescent="0.3">
      <c r="A50" s="1"/>
      <c r="B50" s="40"/>
      <c r="C50" s="41"/>
      <c r="D50" s="42"/>
      <c r="E50" s="43"/>
      <c r="F50" s="44"/>
      <c r="G50" s="45"/>
      <c r="H50" s="44"/>
      <c r="I50" s="45"/>
      <c r="J50" s="44"/>
      <c r="K50" s="45"/>
      <c r="L50" s="45"/>
      <c r="M50" s="45"/>
      <c r="N50" s="83" t="s">
        <v>5</v>
      </c>
      <c r="O50" s="84"/>
      <c r="P50" s="84"/>
      <c r="Q50" s="48">
        <f>SUM(Q10:Q47)</f>
        <v>30.317499999999995</v>
      </c>
      <c r="R50" s="79"/>
      <c r="S50" s="80"/>
    </row>
    <row r="51" spans="1:19" ht="19.5" thickBot="1" x14ac:dyDescent="0.3">
      <c r="A51" s="1"/>
      <c r="B51" s="25"/>
      <c r="C51" s="36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83" t="s">
        <v>6</v>
      </c>
      <c r="O51" s="84"/>
      <c r="P51" s="84"/>
      <c r="Q51" s="49">
        <f>Q50/2</f>
        <v>15.158749999999998</v>
      </c>
      <c r="R51" s="81"/>
      <c r="S51" s="82"/>
    </row>
  </sheetData>
  <mergeCells count="5">
    <mergeCell ref="K1:S1"/>
    <mergeCell ref="S3:S8"/>
    <mergeCell ref="R50:S51"/>
    <mergeCell ref="N50:P50"/>
    <mergeCell ref="N51:P51"/>
  </mergeCells>
  <hyperlinks>
    <hyperlink ref="O10" r:id="rId1"/>
    <hyperlink ref="O13" r:id="rId2"/>
    <hyperlink ref="O11" r:id="rId3"/>
    <hyperlink ref="O15" r:id="rId4"/>
    <hyperlink ref="O12" r:id="rId5"/>
    <hyperlink ref="O16" r:id="rId6"/>
    <hyperlink ref="O17" r:id="rId7"/>
    <hyperlink ref="O18" r:id="rId8"/>
    <hyperlink ref="O19" r:id="rId9"/>
    <hyperlink ref="O21" r:id="rId10"/>
    <hyperlink ref="O22" r:id="rId11"/>
    <hyperlink ref="O23" r:id="rId12"/>
    <hyperlink ref="O24" r:id="rId13"/>
    <hyperlink ref="O25" r:id="rId14"/>
    <hyperlink ref="O26" r:id="rId15"/>
    <hyperlink ref="O27" r:id="rId16"/>
    <hyperlink ref="O28" r:id="rId17"/>
    <hyperlink ref="O29" r:id="rId18"/>
    <hyperlink ref="O30" r:id="rId19"/>
    <hyperlink ref="O31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14" r:id="rId37"/>
    <hyperlink ref="O20" r:id="rId38"/>
  </hyperlinks>
  <pageMargins left="0.7" right="0.7" top="0.75" bottom="0.75" header="0.3" footer="0.3"/>
  <pageSetup paperSize="9" orientation="portrait" r:id="rId39"/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A30" workbookViewId="0">
      <selection activeCell="K9" sqref="K9:M51"/>
    </sheetView>
  </sheetViews>
  <sheetFormatPr defaultRowHeight="15" x14ac:dyDescent="0.25"/>
  <cols>
    <col min="2" max="2" width="3" bestFit="1" customWidth="1"/>
    <col min="3" max="3" width="14.42578125" customWidth="1"/>
    <col min="4" max="4" width="31.140625" bestFit="1" customWidth="1"/>
    <col min="5" max="5" width="28.42578125" customWidth="1"/>
    <col min="6" max="6" width="30.7109375" customWidth="1"/>
    <col min="7" max="7" width="25.28515625" bestFit="1" customWidth="1"/>
    <col min="8" max="8" width="16.7109375" customWidth="1"/>
    <col min="9" max="9" width="21.5703125" bestFit="1" customWidth="1"/>
    <col min="10" max="10" width="17" bestFit="1" customWidth="1"/>
    <col min="11" max="11" width="9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6" max="16" width="18.28515625" bestFit="1" customWidth="1"/>
    <col min="17" max="17" width="18.8554687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5"/>
      <c r="L1" s="75"/>
      <c r="M1" s="75"/>
      <c r="N1" s="75"/>
      <c r="O1" s="75"/>
      <c r="P1" s="75"/>
      <c r="Q1" s="75"/>
      <c r="R1" s="75"/>
      <c r="S1" s="76"/>
    </row>
    <row r="2" spans="1:19" ht="32.25" thickBot="1" x14ac:dyDescent="0.3">
      <c r="A2" s="1"/>
      <c r="B2" s="21"/>
      <c r="C2" s="31"/>
      <c r="D2" s="11" t="s">
        <v>0</v>
      </c>
      <c r="E2" s="11"/>
      <c r="F2" s="52" t="s">
        <v>250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3" t="s">
        <v>251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7"/>
    </row>
    <row r="4" spans="1:19" x14ac:dyDescent="0.25">
      <c r="A4" s="1"/>
      <c r="B4" s="22"/>
      <c r="C4" s="32"/>
      <c r="D4" s="13" t="s">
        <v>2</v>
      </c>
      <c r="E4" s="13"/>
      <c r="F4" s="54" t="s">
        <v>251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8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8"/>
    </row>
    <row r="9" spans="1:19" ht="15.75" thickBot="1" x14ac:dyDescent="0.3">
      <c r="A9" s="1"/>
      <c r="B9" s="30" t="s">
        <v>4</v>
      </c>
      <c r="C9" s="30" t="s">
        <v>8</v>
      </c>
      <c r="D9" s="30" t="s">
        <v>26</v>
      </c>
      <c r="E9" s="30" t="s">
        <v>61</v>
      </c>
      <c r="F9" s="30" t="s">
        <v>101</v>
      </c>
      <c r="G9" s="30" t="s">
        <v>125</v>
      </c>
      <c r="H9" s="30" t="s">
        <v>158</v>
      </c>
      <c r="I9" s="30" t="s">
        <v>237</v>
      </c>
      <c r="J9" s="30" t="s">
        <v>180</v>
      </c>
      <c r="K9" s="30" t="s">
        <v>238</v>
      </c>
      <c r="L9" s="30" t="s">
        <v>236</v>
      </c>
      <c r="M9" s="30" t="s">
        <v>239</v>
      </c>
      <c r="N9" s="30" t="s">
        <v>240</v>
      </c>
      <c r="O9" s="30" t="s">
        <v>241</v>
      </c>
      <c r="P9" s="30" t="s">
        <v>244</v>
      </c>
      <c r="Q9" s="30" t="s">
        <v>245</v>
      </c>
      <c r="R9" s="30" t="s">
        <v>242</v>
      </c>
      <c r="S9" s="30" t="s">
        <v>243</v>
      </c>
    </row>
    <row r="10" spans="1:19" s="59" customFormat="1" x14ac:dyDescent="0.25">
      <c r="A10" s="57"/>
      <c r="B10" s="46">
        <f>ROW(B10) - ROW($B$9)</f>
        <v>1</v>
      </c>
      <c r="C10" s="70" t="s">
        <v>9</v>
      </c>
      <c r="D10" s="74" t="s">
        <v>258</v>
      </c>
      <c r="E10" s="37" t="s">
        <v>62</v>
      </c>
      <c r="F10" s="37" t="s">
        <v>102</v>
      </c>
      <c r="G10" s="37" t="s">
        <v>126</v>
      </c>
      <c r="H10" s="37" t="s">
        <v>159</v>
      </c>
      <c r="I10" s="37" t="s">
        <v>246</v>
      </c>
      <c r="J10" s="37" t="s">
        <v>181</v>
      </c>
      <c r="K10" s="37" t="s">
        <v>219</v>
      </c>
      <c r="L10" s="37">
        <v>7</v>
      </c>
      <c r="M10" s="37">
        <f>L10*5</f>
        <v>35</v>
      </c>
      <c r="N10" s="37">
        <v>100</v>
      </c>
      <c r="O10" s="60" t="s">
        <v>248</v>
      </c>
      <c r="P10" s="38">
        <v>5.1999999999999998E-3</v>
      </c>
      <c r="Q10" s="38">
        <f>P10*N10</f>
        <v>0.52</v>
      </c>
      <c r="R10" s="37"/>
      <c r="S10" s="58"/>
    </row>
    <row r="11" spans="1:19" s="59" customFormat="1" ht="24" x14ac:dyDescent="0.25">
      <c r="A11" s="57"/>
      <c r="B11" s="47">
        <f>ROW(B11) - ROW($B$9)</f>
        <v>2</v>
      </c>
      <c r="C11" s="71" t="s">
        <v>9</v>
      </c>
      <c r="D11" s="50" t="s">
        <v>262</v>
      </c>
      <c r="E11" s="50" t="s">
        <v>65</v>
      </c>
      <c r="F11" s="50" t="s">
        <v>102</v>
      </c>
      <c r="G11" s="50" t="s">
        <v>129</v>
      </c>
      <c r="H11" s="50" t="s">
        <v>159</v>
      </c>
      <c r="I11" s="50" t="s">
        <v>246</v>
      </c>
      <c r="J11" s="50" t="s">
        <v>183</v>
      </c>
      <c r="K11" s="50" t="s">
        <v>222</v>
      </c>
      <c r="L11" s="50">
        <v>12</v>
      </c>
      <c r="M11" s="50">
        <f t="shared" ref="M11" si="0">L11*5</f>
        <v>60</v>
      </c>
      <c r="N11" s="50">
        <v>100</v>
      </c>
      <c r="O11" s="61" t="s">
        <v>248</v>
      </c>
      <c r="P11" s="51">
        <v>3.7000000000000002E-3</v>
      </c>
      <c r="Q11" s="51">
        <f t="shared" ref="Q11" si="1">P11*N11</f>
        <v>0.37</v>
      </c>
      <c r="R11" s="50"/>
      <c r="S11" s="56"/>
    </row>
    <row r="12" spans="1:19" s="59" customFormat="1" x14ac:dyDescent="0.25">
      <c r="A12" s="57"/>
      <c r="B12" s="46">
        <f>ROW(B12) - ROW($B$9)</f>
        <v>3</v>
      </c>
      <c r="C12" s="70" t="s">
        <v>9</v>
      </c>
      <c r="D12" s="74" t="s">
        <v>260</v>
      </c>
      <c r="E12" s="37" t="s">
        <v>67</v>
      </c>
      <c r="F12" s="37" t="s">
        <v>102</v>
      </c>
      <c r="G12" s="37" t="s">
        <v>131</v>
      </c>
      <c r="H12" s="37" t="s">
        <v>159</v>
      </c>
      <c r="I12" s="37" t="s">
        <v>246</v>
      </c>
      <c r="J12" s="37" t="s">
        <v>185</v>
      </c>
      <c r="K12" s="37" t="s">
        <v>224</v>
      </c>
      <c r="L12" s="37">
        <v>1</v>
      </c>
      <c r="M12" s="37">
        <f>L12*5</f>
        <v>5</v>
      </c>
      <c r="N12" s="37">
        <v>10</v>
      </c>
      <c r="O12" s="60" t="s">
        <v>248</v>
      </c>
      <c r="P12" s="38">
        <v>0.16370000000000001</v>
      </c>
      <c r="Q12" s="38">
        <f>P12*N12</f>
        <v>1.637</v>
      </c>
      <c r="R12" s="37"/>
      <c r="S12" s="56"/>
    </row>
    <row r="13" spans="1:19" s="59" customFormat="1" x14ac:dyDescent="0.25">
      <c r="A13" s="57"/>
      <c r="B13" s="46">
        <f>ROW(B13) - ROW($B$9)</f>
        <v>4</v>
      </c>
      <c r="C13" s="70" t="s">
        <v>9</v>
      </c>
      <c r="D13" s="37" t="s">
        <v>261</v>
      </c>
      <c r="E13" s="37" t="s">
        <v>64</v>
      </c>
      <c r="F13" s="37" t="s">
        <v>102</v>
      </c>
      <c r="G13" s="37" t="s">
        <v>128</v>
      </c>
      <c r="H13" s="37" t="s">
        <v>159</v>
      </c>
      <c r="I13" s="37" t="s">
        <v>246</v>
      </c>
      <c r="J13" s="37" t="s">
        <v>182</v>
      </c>
      <c r="K13" s="37" t="s">
        <v>221</v>
      </c>
      <c r="L13" s="37">
        <v>1</v>
      </c>
      <c r="M13" s="37">
        <f>L13*5</f>
        <v>5</v>
      </c>
      <c r="N13" s="37">
        <v>50</v>
      </c>
      <c r="O13" s="60" t="s">
        <v>248</v>
      </c>
      <c r="P13" s="38">
        <v>1.5599999999999999E-2</v>
      </c>
      <c r="Q13" s="38">
        <f>P13*N13</f>
        <v>0.77999999999999992</v>
      </c>
      <c r="R13" s="37"/>
      <c r="S13" s="56"/>
    </row>
    <row r="14" spans="1:19" s="59" customFormat="1" x14ac:dyDescent="0.25">
      <c r="A14" s="57"/>
      <c r="B14" s="47">
        <f t="shared" ref="B14:B48" si="2">ROW(B14) - ROW($B$9)</f>
        <v>5</v>
      </c>
      <c r="C14" s="70" t="s">
        <v>9</v>
      </c>
      <c r="D14" s="50" t="s">
        <v>259</v>
      </c>
      <c r="E14" s="50" t="s">
        <v>63</v>
      </c>
      <c r="F14" s="50" t="s">
        <v>103</v>
      </c>
      <c r="G14" s="62" t="s">
        <v>127</v>
      </c>
      <c r="H14" s="50" t="s">
        <v>159</v>
      </c>
      <c r="I14" s="50" t="s">
        <v>257</v>
      </c>
      <c r="J14" s="50" t="s">
        <v>256</v>
      </c>
      <c r="K14" s="50" t="s">
        <v>220</v>
      </c>
      <c r="L14" s="50">
        <v>1</v>
      </c>
      <c r="M14" s="50">
        <f t="shared" ref="M14" si="3">L14*5</f>
        <v>5</v>
      </c>
      <c r="N14" s="50">
        <v>100</v>
      </c>
      <c r="O14" s="61" t="s">
        <v>248</v>
      </c>
      <c r="P14" s="51">
        <v>2.7000000000000001E-3</v>
      </c>
      <c r="Q14" s="51">
        <f t="shared" ref="Q14" si="4">P14*N14</f>
        <v>0.27</v>
      </c>
      <c r="R14" s="50"/>
      <c r="S14" s="50"/>
    </row>
    <row r="15" spans="1:19" s="59" customFormat="1" ht="36" x14ac:dyDescent="0.25">
      <c r="A15" s="57"/>
      <c r="B15" s="46">
        <f>ROW(B15) - ROW($B$9)</f>
        <v>6</v>
      </c>
      <c r="C15" s="70" t="s">
        <v>9</v>
      </c>
      <c r="D15" s="73" t="s">
        <v>264</v>
      </c>
      <c r="E15" s="37" t="s">
        <v>66</v>
      </c>
      <c r="F15" s="37" t="s">
        <v>104</v>
      </c>
      <c r="G15" s="37" t="s">
        <v>130</v>
      </c>
      <c r="H15" s="37" t="s">
        <v>160</v>
      </c>
      <c r="I15" s="37" t="s">
        <v>246</v>
      </c>
      <c r="J15" s="37" t="s">
        <v>184</v>
      </c>
      <c r="K15" s="37" t="s">
        <v>223</v>
      </c>
      <c r="L15" s="37">
        <v>2</v>
      </c>
      <c r="M15" s="37">
        <f>L15*5</f>
        <v>10</v>
      </c>
      <c r="N15" s="37">
        <v>20</v>
      </c>
      <c r="O15" s="60" t="s">
        <v>248</v>
      </c>
      <c r="P15" s="38">
        <v>5.6300000000000003E-2</v>
      </c>
      <c r="Q15" s="38">
        <f>P15*N15</f>
        <v>1.1260000000000001</v>
      </c>
      <c r="R15" s="37"/>
      <c r="S15" s="56"/>
    </row>
    <row r="16" spans="1:19" s="59" customFormat="1" x14ac:dyDescent="0.25">
      <c r="A16" s="57"/>
      <c r="B16" s="46">
        <f>ROW(B16) - ROW($B$9)</f>
        <v>7</v>
      </c>
      <c r="C16" s="70" t="s">
        <v>10</v>
      </c>
      <c r="D16" s="37" t="s">
        <v>27</v>
      </c>
      <c r="E16" s="37" t="s">
        <v>68</v>
      </c>
      <c r="F16" s="37" t="s">
        <v>105</v>
      </c>
      <c r="G16" s="37" t="s">
        <v>132</v>
      </c>
      <c r="H16" s="37" t="s">
        <v>161</v>
      </c>
      <c r="I16" s="37" t="s">
        <v>246</v>
      </c>
      <c r="J16" s="37" t="s">
        <v>186</v>
      </c>
      <c r="K16" s="37" t="s">
        <v>246</v>
      </c>
      <c r="L16" s="37">
        <v>1</v>
      </c>
      <c r="M16" s="37">
        <f>L16*5</f>
        <v>5</v>
      </c>
      <c r="N16" s="37">
        <v>10</v>
      </c>
      <c r="O16" s="60" t="s">
        <v>248</v>
      </c>
      <c r="P16" s="38">
        <v>6.6000000000000003E-2</v>
      </c>
      <c r="Q16" s="38">
        <f>P16*N16</f>
        <v>0.66</v>
      </c>
      <c r="R16" s="37"/>
      <c r="S16" s="56"/>
    </row>
    <row r="17" spans="1:19" s="59" customFormat="1" ht="36" x14ac:dyDescent="0.25">
      <c r="A17" s="57"/>
      <c r="B17" s="47">
        <f t="shared" si="2"/>
        <v>8</v>
      </c>
      <c r="C17" s="71" t="s">
        <v>10</v>
      </c>
      <c r="D17" s="50" t="s">
        <v>28</v>
      </c>
      <c r="E17" s="50" t="s">
        <v>69</v>
      </c>
      <c r="F17" s="50" t="s">
        <v>106</v>
      </c>
      <c r="G17" s="50" t="s">
        <v>133</v>
      </c>
      <c r="H17" s="50" t="s">
        <v>162</v>
      </c>
      <c r="I17" s="50" t="s">
        <v>246</v>
      </c>
      <c r="J17" s="50" t="s">
        <v>187</v>
      </c>
      <c r="K17" s="37" t="s">
        <v>246</v>
      </c>
      <c r="L17" s="50">
        <v>1</v>
      </c>
      <c r="M17" s="50">
        <f t="shared" ref="M17" si="5">L17*5</f>
        <v>5</v>
      </c>
      <c r="N17" s="50">
        <v>20</v>
      </c>
      <c r="O17" s="61" t="s">
        <v>248</v>
      </c>
      <c r="P17" s="51">
        <v>3.32E-2</v>
      </c>
      <c r="Q17" s="51">
        <f t="shared" ref="Q17" si="6">P17*N17</f>
        <v>0.66400000000000003</v>
      </c>
      <c r="R17" s="50"/>
      <c r="S17" s="56"/>
    </row>
    <row r="18" spans="1:19" s="59" customFormat="1" ht="36" x14ac:dyDescent="0.25">
      <c r="A18" s="57"/>
      <c r="B18" s="46">
        <f>ROW(B18) - ROW($B$9)</f>
        <v>9</v>
      </c>
      <c r="C18" s="70" t="s">
        <v>11</v>
      </c>
      <c r="D18" s="37" t="s">
        <v>29</v>
      </c>
      <c r="E18" s="37" t="s">
        <v>70</v>
      </c>
      <c r="F18" s="37" t="s">
        <v>107</v>
      </c>
      <c r="G18" s="37" t="s">
        <v>134</v>
      </c>
      <c r="H18" s="37" t="s">
        <v>163</v>
      </c>
      <c r="I18" s="37"/>
      <c r="J18" s="37" t="s">
        <v>188</v>
      </c>
      <c r="K18" s="37" t="s">
        <v>246</v>
      </c>
      <c r="L18" s="37">
        <v>1</v>
      </c>
      <c r="M18" s="37">
        <f>L18*5</f>
        <v>5</v>
      </c>
      <c r="N18" s="37">
        <v>10</v>
      </c>
      <c r="O18" s="60" t="s">
        <v>248</v>
      </c>
      <c r="P18" s="38">
        <v>9.5100000000000004E-2</v>
      </c>
      <c r="Q18" s="38">
        <f>P18*N18</f>
        <v>0.95100000000000007</v>
      </c>
      <c r="R18" s="37"/>
      <c r="S18" s="56"/>
    </row>
    <row r="19" spans="1:19" s="59" customFormat="1" x14ac:dyDescent="0.25">
      <c r="A19" s="57"/>
      <c r="B19" s="47">
        <f t="shared" si="2"/>
        <v>10</v>
      </c>
      <c r="C19" s="71" t="s">
        <v>12</v>
      </c>
      <c r="D19" s="50" t="s">
        <v>30</v>
      </c>
      <c r="E19" s="50" t="s">
        <v>71</v>
      </c>
      <c r="F19" s="50" t="s">
        <v>108</v>
      </c>
      <c r="G19" s="50" t="s">
        <v>135</v>
      </c>
      <c r="H19" s="50" t="s">
        <v>164</v>
      </c>
      <c r="I19" s="50" t="s">
        <v>246</v>
      </c>
      <c r="J19" s="50" t="s">
        <v>189</v>
      </c>
      <c r="K19" s="37" t="s">
        <v>246</v>
      </c>
      <c r="L19" s="50">
        <v>1</v>
      </c>
      <c r="M19" s="50">
        <f t="shared" ref="M19" si="7">L19*5</f>
        <v>5</v>
      </c>
      <c r="N19" s="50">
        <v>20</v>
      </c>
      <c r="O19" s="61" t="s">
        <v>248</v>
      </c>
      <c r="P19" s="51">
        <v>3.2199999999999999E-2</v>
      </c>
      <c r="Q19" s="51">
        <f t="shared" ref="Q19" si="8">P19*N19</f>
        <v>0.64400000000000002</v>
      </c>
      <c r="R19" s="50"/>
      <c r="S19" s="56"/>
    </row>
    <row r="20" spans="1:19" s="59" customFormat="1" ht="48" x14ac:dyDescent="0.25">
      <c r="A20" s="57"/>
      <c r="B20" s="46">
        <f>ROW(B20) - ROW($B$9)</f>
        <v>11</v>
      </c>
      <c r="C20" s="70" t="s">
        <v>13</v>
      </c>
      <c r="D20" s="37" t="s">
        <v>31</v>
      </c>
      <c r="E20" s="37" t="s">
        <v>72</v>
      </c>
      <c r="F20" s="37" t="s">
        <v>247</v>
      </c>
      <c r="G20" s="37" t="s">
        <v>109</v>
      </c>
      <c r="H20" s="37" t="s">
        <v>165</v>
      </c>
      <c r="I20" s="37" t="s">
        <v>246</v>
      </c>
      <c r="J20" s="37" t="s">
        <v>190</v>
      </c>
      <c r="K20" s="37" t="s">
        <v>246</v>
      </c>
      <c r="L20" s="37">
        <v>1</v>
      </c>
      <c r="M20" s="37">
        <f>L20*5</f>
        <v>5</v>
      </c>
      <c r="N20" s="37">
        <v>10</v>
      </c>
      <c r="O20" s="60" t="s">
        <v>248</v>
      </c>
      <c r="P20" s="38">
        <v>0.18970000000000001</v>
      </c>
      <c r="Q20" s="38">
        <f>P20*N20</f>
        <v>1.897</v>
      </c>
      <c r="R20" s="37"/>
      <c r="S20" s="56"/>
    </row>
    <row r="21" spans="1:19" s="59" customFormat="1" ht="48" x14ac:dyDescent="0.25">
      <c r="A21" s="57"/>
      <c r="B21" s="47">
        <f t="shared" si="2"/>
        <v>12</v>
      </c>
      <c r="C21" s="71" t="s">
        <v>14</v>
      </c>
      <c r="D21" s="50" t="s">
        <v>32</v>
      </c>
      <c r="E21" s="50" t="s">
        <v>73</v>
      </c>
      <c r="F21" s="37" t="s">
        <v>247</v>
      </c>
      <c r="G21" s="50" t="s">
        <v>110</v>
      </c>
      <c r="H21" s="50" t="s">
        <v>166</v>
      </c>
      <c r="I21" s="50" t="s">
        <v>246</v>
      </c>
      <c r="J21" s="50" t="s">
        <v>191</v>
      </c>
      <c r="K21" s="37" t="s">
        <v>246</v>
      </c>
      <c r="L21" s="50">
        <v>2</v>
      </c>
      <c r="M21" s="50">
        <f t="shared" ref="M21" si="9">L21*5</f>
        <v>10</v>
      </c>
      <c r="N21" s="50">
        <v>20</v>
      </c>
      <c r="O21" s="61" t="s">
        <v>248</v>
      </c>
      <c r="P21" s="51">
        <v>2.2499999999999999E-2</v>
      </c>
      <c r="Q21" s="51">
        <f t="shared" ref="Q21" si="10">P21*N21</f>
        <v>0.44999999999999996</v>
      </c>
      <c r="R21" s="50"/>
      <c r="S21" s="56"/>
    </row>
    <row r="22" spans="1:19" s="59" customFormat="1" ht="36" x14ac:dyDescent="0.25">
      <c r="A22" s="57"/>
      <c r="B22" s="46">
        <f>ROW(B22) - ROW($B$9)</f>
        <v>13</v>
      </c>
      <c r="C22" s="70" t="s">
        <v>15</v>
      </c>
      <c r="D22" s="37" t="s">
        <v>33</v>
      </c>
      <c r="E22" s="37" t="s">
        <v>74</v>
      </c>
      <c r="F22" s="37" t="s">
        <v>247</v>
      </c>
      <c r="G22" s="37" t="s">
        <v>136</v>
      </c>
      <c r="H22" s="37" t="s">
        <v>167</v>
      </c>
      <c r="I22" s="37" t="s">
        <v>246</v>
      </c>
      <c r="J22" s="37" t="s">
        <v>136</v>
      </c>
      <c r="K22" s="37" t="s">
        <v>246</v>
      </c>
      <c r="L22" s="37">
        <v>1</v>
      </c>
      <c r="M22" s="37">
        <f>L22*5</f>
        <v>5</v>
      </c>
      <c r="N22" s="37">
        <v>12</v>
      </c>
      <c r="O22" s="60" t="s">
        <v>248</v>
      </c>
      <c r="P22" s="38">
        <v>7.1999999999999995E-2</v>
      </c>
      <c r="Q22" s="38">
        <f>P22*N22</f>
        <v>0.86399999999999988</v>
      </c>
      <c r="R22" s="37"/>
      <c r="S22" s="56"/>
    </row>
    <row r="23" spans="1:19" s="59" customFormat="1" ht="48" x14ac:dyDescent="0.25">
      <c r="A23" s="57"/>
      <c r="B23" s="47">
        <f t="shared" si="2"/>
        <v>14</v>
      </c>
      <c r="C23" s="71" t="s">
        <v>16</v>
      </c>
      <c r="D23" s="50" t="s">
        <v>34</v>
      </c>
      <c r="E23" s="50" t="s">
        <v>75</v>
      </c>
      <c r="F23" s="37" t="s">
        <v>247</v>
      </c>
      <c r="G23" s="50" t="s">
        <v>111</v>
      </c>
      <c r="H23" s="50" t="s">
        <v>166</v>
      </c>
      <c r="I23" s="50"/>
      <c r="J23" s="50" t="s">
        <v>192</v>
      </c>
      <c r="K23" s="37" t="s">
        <v>246</v>
      </c>
      <c r="L23" s="50">
        <v>1</v>
      </c>
      <c r="M23" s="50">
        <f t="shared" ref="M23" si="11">L23*5</f>
        <v>5</v>
      </c>
      <c r="N23" s="50">
        <v>20</v>
      </c>
      <c r="O23" s="61" t="s">
        <v>248</v>
      </c>
      <c r="P23" s="51">
        <v>2.76E-2</v>
      </c>
      <c r="Q23" s="51">
        <f t="shared" ref="Q23" si="12">P23*N23</f>
        <v>0.55200000000000005</v>
      </c>
      <c r="R23" s="50"/>
      <c r="S23" s="56"/>
    </row>
    <row r="24" spans="1:19" s="59" customFormat="1" ht="48" x14ac:dyDescent="0.25">
      <c r="A24" s="57"/>
      <c r="B24" s="46">
        <f>ROW(B24) - ROW($B$9)</f>
        <v>15</v>
      </c>
      <c r="C24" s="70" t="s">
        <v>17</v>
      </c>
      <c r="D24" s="37" t="s">
        <v>35</v>
      </c>
      <c r="E24" s="37" t="s">
        <v>76</v>
      </c>
      <c r="F24" s="37" t="s">
        <v>247</v>
      </c>
      <c r="G24" s="37" t="s">
        <v>112</v>
      </c>
      <c r="H24" s="37" t="s">
        <v>166</v>
      </c>
      <c r="I24" s="37"/>
      <c r="J24" s="37" t="s">
        <v>193</v>
      </c>
      <c r="K24" s="37" t="s">
        <v>246</v>
      </c>
      <c r="L24" s="37">
        <v>1</v>
      </c>
      <c r="M24" s="37">
        <f>L24*5</f>
        <v>5</v>
      </c>
      <c r="N24" s="37">
        <v>10</v>
      </c>
      <c r="O24" s="60" t="s">
        <v>248</v>
      </c>
      <c r="P24" s="38">
        <v>3.4299999999999997E-2</v>
      </c>
      <c r="Q24" s="38">
        <f>P24*N24</f>
        <v>0.34299999999999997</v>
      </c>
      <c r="R24" s="37"/>
      <c r="S24" s="56"/>
    </row>
    <row r="25" spans="1:19" s="59" customFormat="1" ht="24" x14ac:dyDescent="0.25">
      <c r="A25" s="57"/>
      <c r="B25" s="47">
        <f t="shared" si="2"/>
        <v>16</v>
      </c>
      <c r="C25" s="71" t="s">
        <v>18</v>
      </c>
      <c r="D25" s="50" t="s">
        <v>36</v>
      </c>
      <c r="E25" s="50" t="s">
        <v>77</v>
      </c>
      <c r="F25" s="37" t="s">
        <v>247</v>
      </c>
      <c r="G25" s="50" t="s">
        <v>113</v>
      </c>
      <c r="H25" s="50" t="s">
        <v>168</v>
      </c>
      <c r="I25" s="50"/>
      <c r="J25" s="50" t="s">
        <v>194</v>
      </c>
      <c r="K25" s="37" t="s">
        <v>246</v>
      </c>
      <c r="L25" s="50">
        <v>1</v>
      </c>
      <c r="M25" s="50">
        <f t="shared" ref="M25" si="13">L25*5</f>
        <v>5</v>
      </c>
      <c r="N25" s="50">
        <v>10</v>
      </c>
      <c r="O25" s="61" t="s">
        <v>248</v>
      </c>
      <c r="P25" s="51">
        <v>0.20130000000000001</v>
      </c>
      <c r="Q25" s="51">
        <f t="shared" ref="Q25" si="14">P25*N25</f>
        <v>2.0129999999999999</v>
      </c>
      <c r="R25" s="50"/>
      <c r="S25" s="56"/>
    </row>
    <row r="26" spans="1:19" s="59" customFormat="1" ht="24" x14ac:dyDescent="0.25">
      <c r="A26" s="57"/>
      <c r="B26" s="46">
        <f>ROW(B26) - ROW($B$9)</f>
        <v>17</v>
      </c>
      <c r="C26" s="70" t="s">
        <v>19</v>
      </c>
      <c r="D26" s="37" t="s">
        <v>37</v>
      </c>
      <c r="E26" s="37" t="s">
        <v>78</v>
      </c>
      <c r="F26" s="37" t="s">
        <v>114</v>
      </c>
      <c r="G26" s="37" t="s">
        <v>137</v>
      </c>
      <c r="H26" s="37" t="s">
        <v>169</v>
      </c>
      <c r="I26" s="37" t="s">
        <v>246</v>
      </c>
      <c r="J26" s="37" t="s">
        <v>195</v>
      </c>
      <c r="K26" s="37" t="s">
        <v>246</v>
      </c>
      <c r="L26" s="37">
        <v>1</v>
      </c>
      <c r="M26" s="37">
        <f>L26*5</f>
        <v>5</v>
      </c>
      <c r="N26" s="37">
        <v>20</v>
      </c>
      <c r="O26" s="60" t="s">
        <v>248</v>
      </c>
      <c r="P26" s="38">
        <v>2.6499999999999999E-2</v>
      </c>
      <c r="Q26" s="38">
        <f>P26*N26</f>
        <v>0.53</v>
      </c>
      <c r="R26" s="37"/>
      <c r="S26" s="56"/>
    </row>
    <row r="27" spans="1:19" s="59" customFormat="1" ht="24" x14ac:dyDescent="0.25">
      <c r="A27" s="57"/>
      <c r="B27" s="47">
        <f t="shared" si="2"/>
        <v>18</v>
      </c>
      <c r="C27" s="71" t="s">
        <v>19</v>
      </c>
      <c r="D27" s="50" t="s">
        <v>38</v>
      </c>
      <c r="E27" s="50" t="s">
        <v>79</v>
      </c>
      <c r="F27" s="50" t="s">
        <v>114</v>
      </c>
      <c r="G27" s="50" t="s">
        <v>138</v>
      </c>
      <c r="H27" s="50" t="s">
        <v>169</v>
      </c>
      <c r="I27" s="50" t="s">
        <v>246</v>
      </c>
      <c r="J27" s="50" t="s">
        <v>196</v>
      </c>
      <c r="K27" s="37" t="s">
        <v>246</v>
      </c>
      <c r="L27" s="50">
        <v>1</v>
      </c>
      <c r="M27" s="50">
        <f t="shared" ref="M27" si="15">L27*5</f>
        <v>5</v>
      </c>
      <c r="N27" s="50">
        <v>20</v>
      </c>
      <c r="O27" s="61" t="s">
        <v>248</v>
      </c>
      <c r="P27" s="51">
        <v>2.3300000000000001E-2</v>
      </c>
      <c r="Q27" s="51">
        <f t="shared" ref="Q27" si="16">P27*N27</f>
        <v>0.46600000000000003</v>
      </c>
      <c r="R27" s="50"/>
      <c r="S27" s="56"/>
    </row>
    <row r="28" spans="1:19" s="59" customFormat="1" ht="24" x14ac:dyDescent="0.25">
      <c r="A28" s="57"/>
      <c r="B28" s="46">
        <f>ROW(B28) - ROW($B$9)</f>
        <v>19</v>
      </c>
      <c r="C28" s="70" t="s">
        <v>19</v>
      </c>
      <c r="D28" s="37" t="s">
        <v>39</v>
      </c>
      <c r="E28" s="37" t="s">
        <v>80</v>
      </c>
      <c r="F28" s="37" t="s">
        <v>114</v>
      </c>
      <c r="G28" s="37" t="s">
        <v>139</v>
      </c>
      <c r="H28" s="37" t="s">
        <v>169</v>
      </c>
      <c r="I28" s="37" t="s">
        <v>246</v>
      </c>
      <c r="J28" s="37" t="s">
        <v>197</v>
      </c>
      <c r="K28" s="37" t="s">
        <v>246</v>
      </c>
      <c r="L28" s="37">
        <v>1</v>
      </c>
      <c r="M28" s="37">
        <f>L28*5</f>
        <v>5</v>
      </c>
      <c r="N28" s="37">
        <v>20</v>
      </c>
      <c r="O28" s="60" t="s">
        <v>248</v>
      </c>
      <c r="P28" s="38">
        <v>3.2199999999999999E-2</v>
      </c>
      <c r="Q28" s="38">
        <f>P28*N28</f>
        <v>0.64400000000000002</v>
      </c>
      <c r="R28" s="37"/>
      <c r="S28" s="56"/>
    </row>
    <row r="29" spans="1:19" s="59" customFormat="1" x14ac:dyDescent="0.25">
      <c r="A29" s="57"/>
      <c r="B29" s="46">
        <f>ROW(B29) - ROW($B$9)</f>
        <v>20</v>
      </c>
      <c r="C29" s="70" t="s">
        <v>20</v>
      </c>
      <c r="D29" s="37" t="s">
        <v>40</v>
      </c>
      <c r="E29" s="37" t="s">
        <v>81</v>
      </c>
      <c r="F29" s="37" t="s">
        <v>115</v>
      </c>
      <c r="G29" s="37" t="s">
        <v>140</v>
      </c>
      <c r="H29" s="37" t="s">
        <v>170</v>
      </c>
      <c r="I29" s="37" t="s">
        <v>246</v>
      </c>
      <c r="J29" s="37" t="s">
        <v>198</v>
      </c>
      <c r="K29" s="37" t="s">
        <v>246</v>
      </c>
      <c r="L29" s="37">
        <v>3</v>
      </c>
      <c r="M29" s="37">
        <f>L29*5</f>
        <v>15</v>
      </c>
      <c r="N29" s="37">
        <v>20</v>
      </c>
      <c r="O29" s="60" t="s">
        <v>248</v>
      </c>
      <c r="P29" s="38">
        <v>3.49E-2</v>
      </c>
      <c r="Q29" s="38">
        <f>P29*N29</f>
        <v>0.69799999999999995</v>
      </c>
      <c r="R29" s="37"/>
      <c r="S29" s="56"/>
    </row>
    <row r="30" spans="1:19" s="59" customFormat="1" x14ac:dyDescent="0.25">
      <c r="A30" s="57"/>
      <c r="B30" s="47">
        <f t="shared" si="2"/>
        <v>21</v>
      </c>
      <c r="C30" s="71" t="s">
        <v>21</v>
      </c>
      <c r="D30" s="50" t="s">
        <v>41</v>
      </c>
      <c r="E30" s="50" t="s">
        <v>82</v>
      </c>
      <c r="F30" s="50" t="s">
        <v>116</v>
      </c>
      <c r="G30" s="50" t="s">
        <v>141</v>
      </c>
      <c r="H30" s="50" t="s">
        <v>159</v>
      </c>
      <c r="I30" s="50" t="s">
        <v>246</v>
      </c>
      <c r="J30" s="50" t="s">
        <v>199</v>
      </c>
      <c r="K30" s="50" t="s">
        <v>225</v>
      </c>
      <c r="L30" s="50">
        <v>1</v>
      </c>
      <c r="M30" s="50">
        <f t="shared" ref="M30" si="17">L30*5</f>
        <v>5</v>
      </c>
      <c r="N30" s="50">
        <v>100</v>
      </c>
      <c r="O30" s="61" t="s">
        <v>248</v>
      </c>
      <c r="P30" s="51">
        <v>1.1999999999999999E-3</v>
      </c>
      <c r="Q30" s="51">
        <f t="shared" ref="Q30" si="18">P30*N30</f>
        <v>0.12</v>
      </c>
      <c r="R30" s="50"/>
      <c r="S30" s="56"/>
    </row>
    <row r="31" spans="1:19" s="59" customFormat="1" x14ac:dyDescent="0.25">
      <c r="A31" s="57"/>
      <c r="B31" s="46">
        <f>ROW(B31) - ROW($B$9)</f>
        <v>22</v>
      </c>
      <c r="C31" s="71" t="s">
        <v>21</v>
      </c>
      <c r="D31" s="37" t="s">
        <v>42</v>
      </c>
      <c r="E31" s="37" t="s">
        <v>83</v>
      </c>
      <c r="F31" s="37" t="s">
        <v>116</v>
      </c>
      <c r="G31" s="37" t="s">
        <v>142</v>
      </c>
      <c r="H31" s="37" t="s">
        <v>159</v>
      </c>
      <c r="I31" s="37" t="s">
        <v>246</v>
      </c>
      <c r="J31" s="37" t="s">
        <v>200</v>
      </c>
      <c r="K31" s="37" t="s">
        <v>226</v>
      </c>
      <c r="L31" s="37">
        <v>1</v>
      </c>
      <c r="M31" s="37">
        <f>L31*5</f>
        <v>5</v>
      </c>
      <c r="N31" s="37">
        <v>100</v>
      </c>
      <c r="O31" s="60" t="s">
        <v>248</v>
      </c>
      <c r="P31" s="38">
        <v>1E-3</v>
      </c>
      <c r="Q31" s="38">
        <f>P31*N31</f>
        <v>0.1</v>
      </c>
      <c r="R31" s="37"/>
      <c r="S31" s="56"/>
    </row>
    <row r="32" spans="1:19" s="59" customFormat="1" x14ac:dyDescent="0.25">
      <c r="A32" s="57"/>
      <c r="B32" s="47">
        <f t="shared" si="2"/>
        <v>23</v>
      </c>
      <c r="C32" s="71" t="s">
        <v>21</v>
      </c>
      <c r="D32" s="50" t="s">
        <v>43</v>
      </c>
      <c r="E32" s="50" t="s">
        <v>84</v>
      </c>
      <c r="F32" s="50" t="s">
        <v>116</v>
      </c>
      <c r="G32" s="50" t="s">
        <v>143</v>
      </c>
      <c r="H32" s="50" t="s">
        <v>171</v>
      </c>
      <c r="I32" s="50" t="s">
        <v>246</v>
      </c>
      <c r="J32" s="50" t="s">
        <v>201</v>
      </c>
      <c r="K32" s="50" t="s">
        <v>227</v>
      </c>
      <c r="L32" s="50">
        <v>1</v>
      </c>
      <c r="M32" s="50">
        <f t="shared" ref="M32" si="19">L32*5</f>
        <v>5</v>
      </c>
      <c r="N32" s="50">
        <v>100</v>
      </c>
      <c r="O32" s="61" t="s">
        <v>248</v>
      </c>
      <c r="P32" s="51">
        <v>1.1999999999999999E-3</v>
      </c>
      <c r="Q32" s="51">
        <f t="shared" ref="Q32" si="20">P32*N32</f>
        <v>0.12</v>
      </c>
      <c r="R32" s="50"/>
      <c r="S32" s="56"/>
    </row>
    <row r="33" spans="1:19" s="59" customFormat="1" x14ac:dyDescent="0.25">
      <c r="A33" s="57"/>
      <c r="B33" s="46">
        <f>ROW(B33) - ROW($B$9)</f>
        <v>24</v>
      </c>
      <c r="C33" s="71" t="s">
        <v>21</v>
      </c>
      <c r="D33" s="37" t="s">
        <v>44</v>
      </c>
      <c r="E33" s="37" t="s">
        <v>85</v>
      </c>
      <c r="F33" s="37" t="s">
        <v>116</v>
      </c>
      <c r="G33" s="37" t="s">
        <v>144</v>
      </c>
      <c r="H33" s="37" t="s">
        <v>159</v>
      </c>
      <c r="I33" s="37" t="s">
        <v>246</v>
      </c>
      <c r="J33" s="37" t="s">
        <v>202</v>
      </c>
      <c r="K33" s="37" t="s">
        <v>228</v>
      </c>
      <c r="L33" s="37">
        <v>1</v>
      </c>
      <c r="M33" s="37">
        <f>L33*5</f>
        <v>5</v>
      </c>
      <c r="N33" s="37">
        <v>100</v>
      </c>
      <c r="O33" s="60" t="s">
        <v>248</v>
      </c>
      <c r="P33" s="38">
        <v>1.1000000000000001E-3</v>
      </c>
      <c r="Q33" s="38">
        <f>P33*N33</f>
        <v>0.11</v>
      </c>
      <c r="R33" s="37"/>
      <c r="S33" s="56"/>
    </row>
    <row r="34" spans="1:19" s="59" customFormat="1" x14ac:dyDescent="0.25">
      <c r="A34" s="57"/>
      <c r="B34" s="47">
        <f t="shared" si="2"/>
        <v>25</v>
      </c>
      <c r="C34" s="71" t="s">
        <v>21</v>
      </c>
      <c r="D34" s="50" t="s">
        <v>45</v>
      </c>
      <c r="E34" s="50" t="s">
        <v>86</v>
      </c>
      <c r="F34" s="50" t="s">
        <v>116</v>
      </c>
      <c r="G34" s="50" t="s">
        <v>145</v>
      </c>
      <c r="H34" s="50" t="s">
        <v>159</v>
      </c>
      <c r="I34" s="50" t="s">
        <v>246</v>
      </c>
      <c r="J34" s="50" t="s">
        <v>203</v>
      </c>
      <c r="K34" s="50" t="s">
        <v>229</v>
      </c>
      <c r="L34" s="50">
        <v>1</v>
      </c>
      <c r="M34" s="50">
        <f t="shared" ref="M34" si="21">L34*5</f>
        <v>5</v>
      </c>
      <c r="N34" s="50">
        <v>100</v>
      </c>
      <c r="O34" s="61" t="s">
        <v>248</v>
      </c>
      <c r="P34" s="51">
        <v>1.1999999999999999E-3</v>
      </c>
      <c r="Q34" s="51">
        <f t="shared" ref="Q34" si="22">P34*N34</f>
        <v>0.12</v>
      </c>
      <c r="R34" s="50"/>
      <c r="S34" s="56"/>
    </row>
    <row r="35" spans="1:19" s="59" customFormat="1" x14ac:dyDescent="0.25">
      <c r="A35" s="57"/>
      <c r="B35" s="46">
        <f>ROW(B35) - ROW($B$9)</f>
        <v>26</v>
      </c>
      <c r="C35" s="71" t="s">
        <v>21</v>
      </c>
      <c r="D35" s="37" t="s">
        <v>46</v>
      </c>
      <c r="E35" s="37" t="s">
        <v>87</v>
      </c>
      <c r="F35" s="37" t="s">
        <v>116</v>
      </c>
      <c r="G35" s="37" t="s">
        <v>146</v>
      </c>
      <c r="H35" s="37" t="s">
        <v>159</v>
      </c>
      <c r="I35" s="37" t="s">
        <v>246</v>
      </c>
      <c r="J35" s="37" t="s">
        <v>204</v>
      </c>
      <c r="K35" s="37" t="s">
        <v>230</v>
      </c>
      <c r="L35" s="37">
        <v>7</v>
      </c>
      <c r="M35" s="37">
        <f>L35*5</f>
        <v>35</v>
      </c>
      <c r="N35" s="37">
        <v>100</v>
      </c>
      <c r="O35" s="60" t="s">
        <v>248</v>
      </c>
      <c r="P35" s="38">
        <v>1E-3</v>
      </c>
      <c r="Q35" s="38">
        <f>P35*N35</f>
        <v>0.1</v>
      </c>
      <c r="R35" s="37"/>
      <c r="S35" s="56"/>
    </row>
    <row r="36" spans="1:19" s="59" customFormat="1" x14ac:dyDescent="0.25">
      <c r="A36" s="57"/>
      <c r="B36" s="47">
        <f t="shared" si="2"/>
        <v>27</v>
      </c>
      <c r="C36" s="71" t="s">
        <v>21</v>
      </c>
      <c r="D36" s="50" t="s">
        <v>47</v>
      </c>
      <c r="E36" s="50" t="s">
        <v>88</v>
      </c>
      <c r="F36" s="50" t="s">
        <v>116</v>
      </c>
      <c r="G36" s="50" t="s">
        <v>147</v>
      </c>
      <c r="H36" s="50" t="s">
        <v>159</v>
      </c>
      <c r="I36" s="50" t="s">
        <v>246</v>
      </c>
      <c r="J36" s="50" t="s">
        <v>205</v>
      </c>
      <c r="K36" s="50" t="s">
        <v>231</v>
      </c>
      <c r="L36" s="50">
        <v>1</v>
      </c>
      <c r="M36" s="50">
        <f t="shared" ref="M36" si="23">L36*5</f>
        <v>5</v>
      </c>
      <c r="N36" s="50">
        <v>20</v>
      </c>
      <c r="O36" s="61" t="s">
        <v>248</v>
      </c>
      <c r="P36" s="51">
        <v>2.9100000000000001E-2</v>
      </c>
      <c r="Q36" s="51">
        <f t="shared" ref="Q36" si="24">P36*N36</f>
        <v>0.58200000000000007</v>
      </c>
      <c r="R36" s="50"/>
      <c r="S36" s="56"/>
    </row>
    <row r="37" spans="1:19" s="68" customFormat="1" x14ac:dyDescent="0.25">
      <c r="A37" s="63"/>
      <c r="B37" s="64">
        <f>ROW(B37) - ROW($B$9)</f>
        <v>28</v>
      </c>
      <c r="C37" s="72" t="s">
        <v>21</v>
      </c>
      <c r="D37" s="65" t="s">
        <v>48</v>
      </c>
      <c r="E37" s="65" t="s">
        <v>89</v>
      </c>
      <c r="F37" s="65" t="s">
        <v>116</v>
      </c>
      <c r="G37" s="65" t="s">
        <v>148</v>
      </c>
      <c r="H37" s="65" t="s">
        <v>159</v>
      </c>
      <c r="I37" s="65" t="s">
        <v>246</v>
      </c>
      <c r="J37" s="65" t="s">
        <v>206</v>
      </c>
      <c r="K37" s="65" t="s">
        <v>232</v>
      </c>
      <c r="L37" s="65">
        <v>1</v>
      </c>
      <c r="M37" s="65">
        <f>L37*5</f>
        <v>5</v>
      </c>
      <c r="N37" s="65">
        <v>20</v>
      </c>
      <c r="O37" s="69" t="s">
        <v>248</v>
      </c>
      <c r="P37" s="66">
        <v>3.1099999999999999E-2</v>
      </c>
      <c r="Q37" s="66">
        <f>P37*N37</f>
        <v>0.622</v>
      </c>
      <c r="R37" s="65"/>
      <c r="S37" s="67"/>
    </row>
    <row r="38" spans="1:19" s="59" customFormat="1" x14ac:dyDescent="0.25">
      <c r="A38" s="57"/>
      <c r="B38" s="47">
        <f t="shared" si="2"/>
        <v>29</v>
      </c>
      <c r="C38" s="71" t="s">
        <v>21</v>
      </c>
      <c r="D38" s="50" t="s">
        <v>49</v>
      </c>
      <c r="E38" s="50" t="s">
        <v>90</v>
      </c>
      <c r="F38" s="50" t="s">
        <v>116</v>
      </c>
      <c r="G38" s="50" t="s">
        <v>149</v>
      </c>
      <c r="H38" s="50" t="s">
        <v>159</v>
      </c>
      <c r="I38" s="50" t="s">
        <v>246</v>
      </c>
      <c r="J38" s="50" t="s">
        <v>207</v>
      </c>
      <c r="K38" s="50" t="s">
        <v>233</v>
      </c>
      <c r="L38" s="50">
        <v>3</v>
      </c>
      <c r="M38" s="50">
        <f t="shared" ref="M38" si="25">L38*5</f>
        <v>15</v>
      </c>
      <c r="N38" s="50">
        <v>100</v>
      </c>
      <c r="O38" s="61" t="s">
        <v>248</v>
      </c>
      <c r="P38" s="51">
        <v>1.1000000000000001E-3</v>
      </c>
      <c r="Q38" s="51">
        <f t="shared" ref="Q38" si="26">P38*N38</f>
        <v>0.11</v>
      </c>
      <c r="R38" s="50"/>
      <c r="S38" s="56"/>
    </row>
    <row r="39" spans="1:19" s="59" customFormat="1" x14ac:dyDescent="0.25">
      <c r="A39" s="57"/>
      <c r="B39" s="46">
        <f>ROW(B39) - ROW($B$9)</f>
        <v>30</v>
      </c>
      <c r="C39" s="71" t="s">
        <v>21</v>
      </c>
      <c r="D39" s="37" t="s">
        <v>50</v>
      </c>
      <c r="E39" s="37" t="s">
        <v>91</v>
      </c>
      <c r="F39" s="37" t="s">
        <v>116</v>
      </c>
      <c r="G39" s="37" t="s">
        <v>150</v>
      </c>
      <c r="H39" s="37" t="s">
        <v>159</v>
      </c>
      <c r="I39" s="37" t="s">
        <v>246</v>
      </c>
      <c r="J39" s="37" t="s">
        <v>208</v>
      </c>
      <c r="K39" s="37" t="s">
        <v>234</v>
      </c>
      <c r="L39" s="37">
        <v>1</v>
      </c>
      <c r="M39" s="37">
        <f>L39*5</f>
        <v>5</v>
      </c>
      <c r="N39" s="37">
        <v>100</v>
      </c>
      <c r="O39" s="60" t="s">
        <v>248</v>
      </c>
      <c r="P39" s="38">
        <v>1.2999999999999999E-3</v>
      </c>
      <c r="Q39" s="38">
        <f>P39*N39</f>
        <v>0.13</v>
      </c>
      <c r="R39" s="37"/>
      <c r="S39" s="56"/>
    </row>
    <row r="40" spans="1:19" s="59" customFormat="1" x14ac:dyDescent="0.25">
      <c r="A40" s="57"/>
      <c r="B40" s="47">
        <f t="shared" si="2"/>
        <v>31</v>
      </c>
      <c r="C40" s="71" t="s">
        <v>21</v>
      </c>
      <c r="D40" s="50" t="s">
        <v>51</v>
      </c>
      <c r="E40" s="50" t="s">
        <v>249</v>
      </c>
      <c r="F40" s="50" t="s">
        <v>116</v>
      </c>
      <c r="G40" s="50" t="s">
        <v>151</v>
      </c>
      <c r="H40" s="50" t="s">
        <v>159</v>
      </c>
      <c r="I40" s="50" t="s">
        <v>246</v>
      </c>
      <c r="J40" s="50" t="s">
        <v>209</v>
      </c>
      <c r="K40" s="50" t="s">
        <v>235</v>
      </c>
      <c r="L40" s="50">
        <v>3</v>
      </c>
      <c r="M40" s="50">
        <f t="shared" ref="M40" si="27">L40*5</f>
        <v>15</v>
      </c>
      <c r="N40" s="50">
        <v>100</v>
      </c>
      <c r="O40" s="61" t="s">
        <v>248</v>
      </c>
      <c r="P40" s="51">
        <v>1E-3</v>
      </c>
      <c r="Q40" s="51">
        <f t="shared" ref="Q40" si="28">P40*N40</f>
        <v>0.1</v>
      </c>
      <c r="R40" s="50"/>
      <c r="S40" s="56"/>
    </row>
    <row r="41" spans="1:19" s="59" customFormat="1" ht="48" x14ac:dyDescent="0.25">
      <c r="A41" s="57"/>
      <c r="B41" s="46">
        <f>ROW(B41) - ROW($B$9)</f>
        <v>32</v>
      </c>
      <c r="C41" s="70" t="s">
        <v>22</v>
      </c>
      <c r="D41" s="37" t="s">
        <v>52</v>
      </c>
      <c r="E41" s="37" t="s">
        <v>92</v>
      </c>
      <c r="F41" s="37" t="s">
        <v>247</v>
      </c>
      <c r="G41" s="37" t="s">
        <v>117</v>
      </c>
      <c r="H41" s="37" t="s">
        <v>172</v>
      </c>
      <c r="I41" s="37" t="s">
        <v>246</v>
      </c>
      <c r="J41" s="37" t="s">
        <v>210</v>
      </c>
      <c r="K41" s="37" t="s">
        <v>246</v>
      </c>
      <c r="L41" s="37">
        <v>1</v>
      </c>
      <c r="M41" s="37">
        <f>L41*5</f>
        <v>5</v>
      </c>
      <c r="N41" s="37">
        <v>10</v>
      </c>
      <c r="O41" s="60" t="s">
        <v>248</v>
      </c>
      <c r="P41" s="38">
        <v>0.1002</v>
      </c>
      <c r="Q41" s="38">
        <f>P41*N41</f>
        <v>1.002</v>
      </c>
      <c r="R41" s="37"/>
      <c r="S41" s="56"/>
    </row>
    <row r="42" spans="1:19" s="59" customFormat="1" ht="48" x14ac:dyDescent="0.25">
      <c r="A42" s="57"/>
      <c r="B42" s="47">
        <f t="shared" si="2"/>
        <v>33</v>
      </c>
      <c r="C42" s="71" t="s">
        <v>23</v>
      </c>
      <c r="D42" s="50" t="s">
        <v>53</v>
      </c>
      <c r="E42" s="50" t="s">
        <v>93</v>
      </c>
      <c r="F42" s="50" t="s">
        <v>247</v>
      </c>
      <c r="G42" s="50" t="s">
        <v>118</v>
      </c>
      <c r="H42" s="50" t="s">
        <v>173</v>
      </c>
      <c r="I42" s="50" t="s">
        <v>246</v>
      </c>
      <c r="J42" s="50" t="s">
        <v>211</v>
      </c>
      <c r="K42" s="37" t="s">
        <v>246</v>
      </c>
      <c r="L42" s="50">
        <v>2</v>
      </c>
      <c r="M42" s="50">
        <f t="shared" ref="M42" si="29">L42*5</f>
        <v>10</v>
      </c>
      <c r="N42" s="50">
        <v>20</v>
      </c>
      <c r="O42" s="61" t="s">
        <v>248</v>
      </c>
      <c r="P42" s="51">
        <v>2.1499999999999998E-2</v>
      </c>
      <c r="Q42" s="51">
        <f t="shared" ref="Q42" si="30">P42*N42</f>
        <v>0.42999999999999994</v>
      </c>
      <c r="R42" s="50"/>
      <c r="S42" s="56"/>
    </row>
    <row r="43" spans="1:19" s="59" customFormat="1" ht="60" x14ac:dyDescent="0.25">
      <c r="A43" s="57"/>
      <c r="B43" s="46">
        <f>ROW(B43) - ROW($B$9)</f>
        <v>34</v>
      </c>
      <c r="C43" s="71" t="s">
        <v>23</v>
      </c>
      <c r="D43" s="37" t="s">
        <v>54</v>
      </c>
      <c r="E43" s="37" t="s">
        <v>94</v>
      </c>
      <c r="F43" s="37" t="s">
        <v>247</v>
      </c>
      <c r="G43" s="37" t="s">
        <v>152</v>
      </c>
      <c r="H43" s="37" t="s">
        <v>174</v>
      </c>
      <c r="I43" s="37" t="s">
        <v>246</v>
      </c>
      <c r="J43" s="37" t="s">
        <v>212</v>
      </c>
      <c r="K43" s="37" t="s">
        <v>246</v>
      </c>
      <c r="L43" s="37">
        <v>1</v>
      </c>
      <c r="M43" s="37">
        <f>L43*5</f>
        <v>5</v>
      </c>
      <c r="N43" s="37">
        <v>20</v>
      </c>
      <c r="O43" s="60" t="s">
        <v>248</v>
      </c>
      <c r="P43" s="38">
        <v>3.5299999999999998E-2</v>
      </c>
      <c r="Q43" s="38">
        <f>P43*N43</f>
        <v>0.70599999999999996</v>
      </c>
      <c r="R43" s="37"/>
      <c r="S43" s="56"/>
    </row>
    <row r="44" spans="1:19" s="59" customFormat="1" ht="24" x14ac:dyDescent="0.25">
      <c r="A44" s="57"/>
      <c r="B44" s="47">
        <f t="shared" si="2"/>
        <v>35</v>
      </c>
      <c r="C44" s="71" t="s">
        <v>20</v>
      </c>
      <c r="D44" s="50" t="s">
        <v>55</v>
      </c>
      <c r="E44" s="50" t="s">
        <v>95</v>
      </c>
      <c r="F44" s="50" t="s">
        <v>119</v>
      </c>
      <c r="G44" s="50" t="s">
        <v>153</v>
      </c>
      <c r="H44" s="50" t="s">
        <v>175</v>
      </c>
      <c r="I44" s="50" t="s">
        <v>246</v>
      </c>
      <c r="J44" s="50" t="s">
        <v>213</v>
      </c>
      <c r="K44" s="37" t="s">
        <v>246</v>
      </c>
      <c r="L44" s="50">
        <v>1</v>
      </c>
      <c r="M44" s="50">
        <f t="shared" ref="M44" si="31">L44*5</f>
        <v>5</v>
      </c>
      <c r="N44" s="50">
        <v>10</v>
      </c>
      <c r="O44" s="61" t="s">
        <v>248</v>
      </c>
      <c r="P44" s="51">
        <v>0.2079</v>
      </c>
      <c r="Q44" s="51">
        <f t="shared" ref="Q44" si="32">P44*N44</f>
        <v>2.0790000000000002</v>
      </c>
      <c r="R44" s="50"/>
      <c r="S44" s="56"/>
    </row>
    <row r="45" spans="1:19" s="59" customFormat="1" ht="24" x14ac:dyDescent="0.25">
      <c r="A45" s="57"/>
      <c r="B45" s="46">
        <f>ROW(B45) - ROW($B$9)</f>
        <v>36</v>
      </c>
      <c r="C45" s="70" t="s">
        <v>24</v>
      </c>
      <c r="D45" s="37" t="s">
        <v>56</v>
      </c>
      <c r="E45" s="37" t="s">
        <v>96</v>
      </c>
      <c r="F45" s="37" t="s">
        <v>120</v>
      </c>
      <c r="G45" s="37" t="s">
        <v>154</v>
      </c>
      <c r="H45" s="37" t="s">
        <v>176</v>
      </c>
      <c r="I45" s="37" t="s">
        <v>246</v>
      </c>
      <c r="J45" s="37" t="s">
        <v>214</v>
      </c>
      <c r="K45" s="37" t="s">
        <v>246</v>
      </c>
      <c r="L45" s="37">
        <v>1</v>
      </c>
      <c r="M45" s="37">
        <f>L45*5</f>
        <v>5</v>
      </c>
      <c r="N45" s="37">
        <v>6</v>
      </c>
      <c r="O45" s="60" t="s">
        <v>248</v>
      </c>
      <c r="P45" s="38">
        <v>0.45979999999999999</v>
      </c>
      <c r="Q45" s="38">
        <f>P45*N45</f>
        <v>2.7587999999999999</v>
      </c>
      <c r="R45" s="37"/>
      <c r="S45" s="56"/>
    </row>
    <row r="46" spans="1:19" s="59" customFormat="1" x14ac:dyDescent="0.25">
      <c r="A46" s="57"/>
      <c r="B46" s="47">
        <f t="shared" si="2"/>
        <v>37</v>
      </c>
      <c r="C46" s="71" t="s">
        <v>24</v>
      </c>
      <c r="D46" s="50" t="s">
        <v>57</v>
      </c>
      <c r="E46" s="50" t="s">
        <v>97</v>
      </c>
      <c r="F46" s="50" t="s">
        <v>121</v>
      </c>
      <c r="G46" s="50" t="s">
        <v>155</v>
      </c>
      <c r="H46" s="50" t="s">
        <v>176</v>
      </c>
      <c r="I46" s="50" t="s">
        <v>246</v>
      </c>
      <c r="J46" s="50" t="s">
        <v>215</v>
      </c>
      <c r="K46" s="37" t="s">
        <v>246</v>
      </c>
      <c r="L46" s="50">
        <v>1</v>
      </c>
      <c r="M46" s="50">
        <f t="shared" ref="M46" si="33">L46*5</f>
        <v>5</v>
      </c>
      <c r="N46" s="50">
        <v>6</v>
      </c>
      <c r="O46" s="61" t="s">
        <v>248</v>
      </c>
      <c r="P46" s="51">
        <v>0.54569999999999996</v>
      </c>
      <c r="Q46" s="51">
        <f t="shared" ref="Q46" si="34">P46*N46</f>
        <v>3.2741999999999996</v>
      </c>
      <c r="R46" s="50"/>
      <c r="S46" s="56"/>
    </row>
    <row r="47" spans="1:19" s="59" customFormat="1" ht="36" x14ac:dyDescent="0.25">
      <c r="A47" s="57"/>
      <c r="B47" s="46">
        <f>ROW(B47) - ROW($B$9)</f>
        <v>38</v>
      </c>
      <c r="C47" s="70" t="s">
        <v>24</v>
      </c>
      <c r="D47" s="37" t="s">
        <v>58</v>
      </c>
      <c r="E47" s="37" t="s">
        <v>98</v>
      </c>
      <c r="F47" s="37" t="s">
        <v>122</v>
      </c>
      <c r="G47" s="37" t="s">
        <v>156</v>
      </c>
      <c r="H47" s="37" t="s">
        <v>177</v>
      </c>
      <c r="I47" s="37" t="s">
        <v>246</v>
      </c>
      <c r="J47" s="37" t="s">
        <v>216</v>
      </c>
      <c r="K47" s="37" t="s">
        <v>246</v>
      </c>
      <c r="L47" s="37">
        <v>1</v>
      </c>
      <c r="M47" s="37">
        <f>L47*5</f>
        <v>5</v>
      </c>
      <c r="N47" s="37">
        <v>10</v>
      </c>
      <c r="O47" s="60" t="s">
        <v>248</v>
      </c>
      <c r="P47" s="38">
        <v>9.8400000000000001E-2</v>
      </c>
      <c r="Q47" s="38">
        <f>P47*N47</f>
        <v>0.98399999999999999</v>
      </c>
      <c r="R47" s="37"/>
      <c r="S47" s="56"/>
    </row>
    <row r="48" spans="1:19" s="59" customFormat="1" ht="36" x14ac:dyDescent="0.25">
      <c r="A48" s="57"/>
      <c r="B48" s="47">
        <f t="shared" si="2"/>
        <v>39</v>
      </c>
      <c r="C48" s="71" t="s">
        <v>24</v>
      </c>
      <c r="D48" s="50" t="s">
        <v>59</v>
      </c>
      <c r="E48" s="50" t="s">
        <v>99</v>
      </c>
      <c r="F48" s="50" t="s">
        <v>123</v>
      </c>
      <c r="G48" s="50" t="s">
        <v>157</v>
      </c>
      <c r="H48" s="50" t="s">
        <v>178</v>
      </c>
      <c r="I48" s="50" t="s">
        <v>246</v>
      </c>
      <c r="J48" s="50" t="s">
        <v>217</v>
      </c>
      <c r="K48" s="37" t="s">
        <v>246</v>
      </c>
      <c r="L48" s="50">
        <v>1</v>
      </c>
      <c r="M48" s="50">
        <f t="shared" ref="M48" si="35">L48*5</f>
        <v>5</v>
      </c>
      <c r="N48" s="50">
        <v>6</v>
      </c>
      <c r="O48" s="61" t="s">
        <v>248</v>
      </c>
      <c r="P48" s="51">
        <v>0.16209999999999999</v>
      </c>
      <c r="Q48" s="51">
        <f t="shared" ref="Q48" si="36">P48*N48</f>
        <v>0.97259999999999991</v>
      </c>
      <c r="R48" s="50"/>
      <c r="S48" s="56"/>
    </row>
    <row r="49" spans="1:19" s="59" customFormat="1" ht="24.75" thickBot="1" x14ac:dyDescent="0.3">
      <c r="A49" s="57"/>
      <c r="B49" s="46">
        <f>ROW(B49) - ROW($B$9)</f>
        <v>40</v>
      </c>
      <c r="C49" s="70" t="s">
        <v>25</v>
      </c>
      <c r="D49" s="37" t="s">
        <v>60</v>
      </c>
      <c r="E49" s="37" t="s">
        <v>100</v>
      </c>
      <c r="F49" s="37" t="s">
        <v>247</v>
      </c>
      <c r="G49" s="37" t="s">
        <v>124</v>
      </c>
      <c r="H49" s="37" t="s">
        <v>179</v>
      </c>
      <c r="I49" s="37" t="s">
        <v>246</v>
      </c>
      <c r="J49" s="37" t="s">
        <v>218</v>
      </c>
      <c r="K49" s="37" t="s">
        <v>246</v>
      </c>
      <c r="L49" s="37">
        <v>1</v>
      </c>
      <c r="M49" s="37">
        <f>L49*5</f>
        <v>5</v>
      </c>
      <c r="N49" s="37">
        <v>6</v>
      </c>
      <c r="O49" s="60" t="s">
        <v>248</v>
      </c>
      <c r="P49" s="38">
        <v>2.8589000000000002</v>
      </c>
      <c r="Q49" s="38">
        <f>P49*N49</f>
        <v>17.153400000000001</v>
      </c>
      <c r="R49" s="37"/>
      <c r="S49" s="39"/>
    </row>
    <row r="50" spans="1:19" ht="15.75" thickBot="1" x14ac:dyDescent="0.3">
      <c r="A50" s="57"/>
      <c r="B50" s="46">
        <f t="shared" ref="B50:B51" si="37">ROW(B50) - ROW($B$9)</f>
        <v>41</v>
      </c>
      <c r="C50" s="70" t="s">
        <v>265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60"/>
      <c r="P50" s="38"/>
      <c r="Q50" s="38"/>
      <c r="R50" s="37"/>
      <c r="S50" s="39"/>
    </row>
    <row r="51" spans="1:19" ht="15.75" thickBot="1" x14ac:dyDescent="0.3">
      <c r="A51" s="57"/>
      <c r="B51" s="46">
        <f t="shared" si="37"/>
        <v>42</v>
      </c>
      <c r="C51" s="70" t="s">
        <v>265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60"/>
      <c r="P51" s="38"/>
      <c r="Q51" s="38"/>
      <c r="R51" s="37"/>
      <c r="S51" s="39"/>
    </row>
    <row r="52" spans="1:19" ht="19.5" thickBot="1" x14ac:dyDescent="0.3">
      <c r="A52" s="1"/>
      <c r="B52" s="40"/>
      <c r="C52" s="41"/>
      <c r="D52" s="42"/>
      <c r="E52" s="43"/>
      <c r="F52" s="44"/>
      <c r="G52" s="45"/>
      <c r="H52" s="44"/>
      <c r="I52" s="45"/>
      <c r="J52" s="44"/>
      <c r="K52" s="45"/>
      <c r="L52" s="45"/>
      <c r="M52" s="45"/>
      <c r="N52" s="83" t="s">
        <v>5</v>
      </c>
      <c r="O52" s="84"/>
      <c r="P52" s="84"/>
      <c r="Q52" s="48">
        <f>SUM(Q10:Q49)</f>
        <v>47.653000000000006</v>
      </c>
      <c r="R52" s="79"/>
      <c r="S52" s="80"/>
    </row>
    <row r="53" spans="1:19" ht="19.5" thickBot="1" x14ac:dyDescent="0.3">
      <c r="A53" s="1"/>
      <c r="B53" s="25"/>
      <c r="C53" s="36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83" t="s">
        <v>6</v>
      </c>
      <c r="O53" s="84"/>
      <c r="P53" s="84"/>
      <c r="Q53" s="49">
        <f>Q52/5</f>
        <v>9.5306000000000015</v>
      </c>
      <c r="R53" s="81"/>
      <c r="S53" s="82"/>
    </row>
  </sheetData>
  <mergeCells count="5">
    <mergeCell ref="K1:S1"/>
    <mergeCell ref="S3:S8"/>
    <mergeCell ref="N52:P52"/>
    <mergeCell ref="R52:S53"/>
    <mergeCell ref="N53:P53"/>
  </mergeCells>
  <hyperlinks>
    <hyperlink ref="O10" r:id="rId1"/>
    <hyperlink ref="O13" r:id="rId2"/>
    <hyperlink ref="O11" r:id="rId3"/>
    <hyperlink ref="O15" r:id="rId4"/>
    <hyperlink ref="O12" r:id="rId5"/>
    <hyperlink ref="O16" r:id="rId6"/>
    <hyperlink ref="O17" r:id="rId7"/>
    <hyperlink ref="O18" r:id="rId8"/>
    <hyperlink ref="O19" r:id="rId9"/>
    <hyperlink ref="O21" r:id="rId10"/>
    <hyperlink ref="O22" r:id="rId11"/>
    <hyperlink ref="O23" r:id="rId12"/>
    <hyperlink ref="O24" r:id="rId13"/>
    <hyperlink ref="O25" r:id="rId14"/>
    <hyperlink ref="O26" r:id="rId15"/>
    <hyperlink ref="O27" r:id="rId16"/>
    <hyperlink ref="O28" r:id="rId17"/>
    <hyperlink ref="O29" r:id="rId18"/>
    <hyperlink ref="O30" r:id="rId19"/>
    <hyperlink ref="O31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14" r:id="rId39"/>
    <hyperlink ref="O20" r:id="rId40"/>
  </hyperlinks>
  <pageMargins left="0.7" right="0.7" top="0.75" bottom="0.75" header="0.3" footer="0.3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2023-03-09T11:35:55Z</dcterms:modified>
</cp:coreProperties>
</file>