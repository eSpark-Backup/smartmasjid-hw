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BOM\"/>
    </mc:Choice>
  </mc:AlternateContent>
  <bookViews>
    <workbookView xWindow="28680" yWindow="-120" windowWidth="29040" windowHeight="15840"/>
  </bookViews>
  <sheets>
    <sheet name="5 Boards" sheetId="1" r:id="rId1"/>
    <sheet name="2 Boards" sheetId="2" r:id="rId2"/>
  </sheets>
  <calcPr calcId="162913"/>
</workbook>
</file>

<file path=xl/calcChain.xml><?xml version="1.0" encoding="utf-8"?>
<calcChain xmlns="http://schemas.openxmlformats.org/spreadsheetml/2006/main">
  <c r="K80" i="1" l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1" i="1"/>
  <c r="B20" i="1"/>
  <c r="B19" i="1"/>
  <c r="B18" i="1"/>
  <c r="B17" i="1"/>
  <c r="B16" i="1"/>
  <c r="B15" i="1"/>
  <c r="B14" i="1"/>
  <c r="B13" i="1"/>
  <c r="B12" i="1"/>
  <c r="B11" i="1"/>
  <c r="B10" i="1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1" i="2"/>
  <c r="B20" i="2"/>
  <c r="B19" i="2"/>
  <c r="B18" i="2"/>
  <c r="B17" i="2"/>
  <c r="B16" i="2"/>
  <c r="B15" i="2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<sst xmlns="http://schemas.openxmlformats.org/spreadsheetml/2006/main" count="1021" uniqueCount="342">
  <si>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</si>
  <si>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</si>
  <si>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</si>
  <si>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</si>
  <si>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</si>
  <si>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</si>
  <si>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</si>
  <si>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</si>
  <si>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TVS Diode</t>
  </si>
  <si>
    <t>Diode</t>
  </si>
  <si>
    <t>Fuse</t>
  </si>
  <si>
    <t>Ferrite Bead</t>
  </si>
  <si>
    <t>USB Connector</t>
  </si>
  <si>
    <t>JST Connector</t>
  </si>
  <si>
    <t>Connector</t>
  </si>
  <si>
    <t>Header</t>
  </si>
  <si>
    <t>Inductor</t>
  </si>
  <si>
    <t>LED</t>
  </si>
  <si>
    <t>RGB LED</t>
  </si>
  <si>
    <t>TEST POINT</t>
  </si>
  <si>
    <t>Mosfet</t>
  </si>
  <si>
    <t>Resistor</t>
  </si>
  <si>
    <t>Solder Bridge</t>
  </si>
  <si>
    <t>Switch</t>
  </si>
  <si>
    <t>IC</t>
  </si>
  <si>
    <t>Module</t>
  </si>
  <si>
    <t>Designator</t>
  </si>
  <si>
    <t>D1, D4</t>
  </si>
  <si>
    <t>D2</t>
  </si>
  <si>
    <t>D6, D7</t>
  </si>
  <si>
    <t>F1</t>
  </si>
  <si>
    <t>J1</t>
  </si>
  <si>
    <t>J2</t>
  </si>
  <si>
    <t>J3</t>
  </si>
  <si>
    <t>J4</t>
  </si>
  <si>
    <t>J5, J6</t>
  </si>
  <si>
    <t>L1</t>
  </si>
  <si>
    <t>L2</t>
  </si>
  <si>
    <t>LED1</t>
  </si>
  <si>
    <t>LED2</t>
  </si>
  <si>
    <t>LED3</t>
  </si>
  <si>
    <t>LED4</t>
  </si>
  <si>
    <t>Q1</t>
  </si>
  <si>
    <t>Q5, Q6, Q7, Q8</t>
  </si>
  <si>
    <t>R14</t>
  </si>
  <si>
    <t>R15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</si>
  <si>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</si>
  <si>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</si>
  <si>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</si>
  <si>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</si>
  <si>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</si>
  <si>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</si>
  <si>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</si>
  <si>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</si>
  <si>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</si>
  <si>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Description</t>
  </si>
  <si>
    <t>CAP CER 10000PF 50V C0G/NPO 0603</t>
  </si>
  <si>
    <t>CAP CER 22UF 10V X5R 0603</t>
  </si>
  <si>
    <t>CAP ALUM POLY 330UF 20% 25V SMD</t>
  </si>
  <si>
    <t>CAP CER 1UF 25V X5R 0603</t>
  </si>
  <si>
    <t>CAP CER 10UF 25V X5R 0805</t>
  </si>
  <si>
    <t>CAP CER 0.1UF 25V X5R 0402</t>
  </si>
  <si>
    <t>CAP ALUM POLY 100UF 20% 25V SMD</t>
  </si>
  <si>
    <t>CAP TANT 100UF 20% 25V 2917</t>
  </si>
  <si>
    <t>CAP CER 4.7UF 16V X5R 0603</t>
  </si>
  <si>
    <t>CAP CER 33PF 25V C0G/NP0 0402</t>
  </si>
  <si>
    <t>CAP CER 200PF 50V X7R 0603</t>
  </si>
  <si>
    <t>DIODE ZENER 3.3V 200MW SOD323F</t>
  </si>
  <si>
    <t>TVS DIODE 12VWM 27VC SOD323</t>
  </si>
  <si>
    <t>0.5mA@40V 40V Single 3A 0.55V@3A SMA(DO-214AC) Schottky Barrier Diodes (SBD) ROHS</t>
  </si>
  <si>
    <t>DIODE GEN PURP 75V 150MA SOD323</t>
  </si>
  <si>
    <t>13.2V 2.6A 40A 800mW -40℃~+85℃ 5.2A 10mΩ 2.5s 50mΩ 1812 Resettable Fuses ROHS</t>
  </si>
  <si>
    <t>FERRITE BEAD 120 OHM 0603 1LN</t>
  </si>
  <si>
    <t>FERRITE BEAD 600 OHM 1210 1LN</t>
  </si>
  <si>
    <t>250mA 1 16 Female Type-C SMD USB Connectors ROHS</t>
  </si>
  <si>
    <t>Conn Shrouded Header (4 Sides) HDR 2 POS 2.5mm Solder ST Thru-Hole Box</t>
  </si>
  <si>
    <t>1x6P SH 1 1mm 6 SMD,P=1mm Wire To Board / Wire To Wire Connector ROHS</t>
  </si>
  <si>
    <t>1x2P 1 1.25mm Male pin 2 -40℃~+85℃ Surface Mount SMD,P=1.25mm Wire To Board / Wire To Wire Connector ROHS</t>
  </si>
  <si>
    <t>CONN HEADER VERT 2POS 2.54MM</t>
  </si>
  <si>
    <t>2.9A 22uH ±20% 66mΩ SMD,12x12x5mm Power Inductors ROHS</t>
  </si>
  <si>
    <t>5A 47uH ±20% 57.5mΩ SMD,13.8x12.6x6.5mm Power Inductors ROHS</t>
  </si>
  <si>
    <t>Emerald 0603 Light Emitting Diodes (LED) ROHS</t>
  </si>
  <si>
    <t>0603 Light Emitting Diodes (LED) ROHS</t>
  </si>
  <si>
    <t>White light 0603 Light Emitting Diodes (LED) ROHS</t>
  </si>
  <si>
    <t>20mA White Diffused -40℃~+85℃ RGB SMD5050 Light Emitting Diodes (LED) ROHS</t>
  </si>
  <si>
    <t>Test Point ON</t>
  </si>
  <si>
    <t>30V 7A 19mΩ 1.9W 1.1V@250uA P Channel SOT-23-3L MOSFETs ROHS</t>
  </si>
  <si>
    <t>30V 4.1A 60mΩ@10V,4.1A 350mW 3V@250uA P Channel SOT-23 MOSFETs ROHS</t>
  </si>
  <si>
    <t>40V 100mW 100@10mA,1V 200mA 300MHz 300mV@50mA,5mA NPN -55℃~+150℃@(Tj) SOT-723 Bipolar Transistors - BJT ROHS</t>
  </si>
  <si>
    <t>RES SMD 1K OHM 1% 1/10W 0603</t>
  </si>
  <si>
    <t>RES SMD 10K Ohm 1% 1/10W 0603</t>
  </si>
  <si>
    <t>250mW Thick Film Resistors 150V ±5% ±800ppm/℃ -55℃~+155℃ 82mΩ 0805 Chip Resistor - Surface Mount ROHS</t>
  </si>
  <si>
    <t>RES SMD 10 OHM 1% 1/10W 0603</t>
  </si>
  <si>
    <t>RES 0 OHM JUMPER 1/10W 0603</t>
  </si>
  <si>
    <t>RES SMD 47K OHM 0.1% 1/10W 0603</t>
  </si>
  <si>
    <t>RES 15K OHM 1% 1/10W 0603</t>
  </si>
  <si>
    <t>RES SMD 4.7K OHM 5% 1/10W 0603</t>
  </si>
  <si>
    <t>RES 24K OHM 1% 1/10W 0603</t>
  </si>
  <si>
    <t>RES 2.74K OHM 1% 1/10W 0603</t>
  </si>
  <si>
    <t>RES SMD 51R 100mW 0603</t>
  </si>
  <si>
    <t>RES SMD 0603 33 Ohm 1% 1/10W</t>
  </si>
  <si>
    <t>RES 91 OHM 1% 1/10W 0603</t>
  </si>
  <si>
    <t>RES 22 OHM 1% 1/10W 0603</t>
  </si>
  <si>
    <t>RES 2.2K OHM 1% 1/10W 0603</t>
  </si>
  <si>
    <t>RES 5.1K OHM 1% 1/10W 0603</t>
  </si>
  <si>
    <t>RES 73.2K OHM 1% 1/10W 0603</t>
  </si>
  <si>
    <t>Solder Bridge ON</t>
  </si>
  <si>
    <t>Lying 3A SPDT 125V 6.3mm 13.5mm 125V 6.6mm 3A PCPin 10000 Rectangular columnar -40℃~+85℃ Black Plugin Slide Switches ROHS</t>
  </si>
  <si>
    <t>No NO 50mA 4.5mm 100000 260gf 12V -30℃~+85℃ 4.5mm 4.3mm Black Round Button Brick nogging SPST SMD Tactile Switches ROHS</t>
  </si>
  <si>
    <t>-20℃~+85℃ SMDSplicing Black Rectangle button 50mA Surface Mount SPST 100MΩ 100000 250gf@±50gf 12V SMD Tactile Switches ROHS</t>
  </si>
  <si>
    <t>No NO 50mA 4.5mm 100000 160gf 12V -30℃~+85℃ 4.5mm 8mm Black Round Button Brick nogging SPST SMD Tactile Switches ROHS</t>
  </si>
  <si>
    <t>USB充电芯片 ESSOP-10 USB ICs ROHS</t>
  </si>
  <si>
    <t>TQFN-16-EP(4x4) Battery Management ICs ROHS</t>
  </si>
  <si>
    <t>IC REG LINEAR 3.3V 150MA SOT23-5</t>
  </si>
  <si>
    <t>NO boost converterType 1 Boost 60V 5V~40V 5A 220kHz TO-263-5 DC-DC Converters ROHS</t>
  </si>
  <si>
    <t>SMD,18x25.5mm WiFi Modules ROHS</t>
  </si>
  <si>
    <t>QFN-28-EP(4x4) ADC/DAC - Specialized ROHS</t>
  </si>
  <si>
    <t>IC AMP AUDIO 15W CLASS D 32UQFN</t>
  </si>
  <si>
    <t>Footprint</t>
  </si>
  <si>
    <t>Cap-0603</t>
  </si>
  <si>
    <t>25SVPF330M</t>
  </si>
  <si>
    <t>Cap-0805</t>
  </si>
  <si>
    <t>Cap-0402</t>
  </si>
  <si>
    <t>25SVPF100M</t>
  </si>
  <si>
    <t>Case-E</t>
  </si>
  <si>
    <t>SOD323F</t>
  </si>
  <si>
    <t>SOD-323</t>
  </si>
  <si>
    <t>SMA</t>
  </si>
  <si>
    <t>1812-FUSE</t>
  </si>
  <si>
    <t>IND-0603 (1608 Metric)</t>
  </si>
  <si>
    <t>IND-1210</t>
  </si>
  <si>
    <t>1.25-2PWB</t>
  </si>
  <si>
    <t>HDR1X2_</t>
  </si>
  <si>
    <t>LED-0603</t>
  </si>
  <si>
    <t>SMD5050</t>
  </si>
  <si>
    <t>SOT-23-3L_</t>
  </si>
  <si>
    <t>SOT-23</t>
  </si>
  <si>
    <t>SOT-723</t>
  </si>
  <si>
    <t>Res-0603</t>
  </si>
  <si>
    <t>RES-0805</t>
  </si>
  <si>
    <t>Solder Bridge 0402</t>
  </si>
  <si>
    <t>SS-12D11L5</t>
  </si>
  <si>
    <t>TS-1109S-C-B</t>
  </si>
  <si>
    <t>VSOF-5</t>
  </si>
  <si>
    <t>ESSOP-10</t>
  </si>
  <si>
    <t>TQFN-16-EP(4x4)_</t>
  </si>
  <si>
    <t>SOT-23-5</t>
  </si>
  <si>
    <t>TO-263-5 (D2PAK)</t>
  </si>
  <si>
    <t>38-SMD Module</t>
  </si>
  <si>
    <t>QFN-28-EP(4x4)</t>
  </si>
  <si>
    <t>32-QFN</t>
  </si>
  <si>
    <t>Manufacturer Part Number</t>
  </si>
  <si>
    <t>CC0603JRNPO9BN103</t>
  </si>
  <si>
    <t>CC0603MRX5R6BB226</t>
  </si>
  <si>
    <t>CC0603KRX5R8BB105</t>
  </si>
  <si>
    <t>CC0805KKX5R8BB106</t>
  </si>
  <si>
    <t>CC0402KRX5R8BB104</t>
  </si>
  <si>
    <t>TAJE107M025RNJ</t>
  </si>
  <si>
    <t>CC0603KRX5R7BB475</t>
  </si>
  <si>
    <t>CC0603KRX7R9BB201</t>
  </si>
  <si>
    <t>MM3Z3V3B</t>
  </si>
  <si>
    <t>PESD12VS1UA,115</t>
  </si>
  <si>
    <t>SS34</t>
  </si>
  <si>
    <t>1N4148WS-7-F</t>
  </si>
  <si>
    <t>BSMD1812-260-13.2V</t>
  </si>
  <si>
    <t>BLM18SG121TN1D</t>
  </si>
  <si>
    <t>FBMH3225HM601NT</t>
  </si>
  <si>
    <t>TYPE-C-31-M-12</t>
  </si>
  <si>
    <t>B2B-XH-A(LF)(SN)</t>
  </si>
  <si>
    <t>C145963</t>
  </si>
  <si>
    <t>YPRH1204-220M</t>
  </si>
  <si>
    <t>YSPI1365-470M</t>
  </si>
  <si>
    <t>NCD0603G2</t>
  </si>
  <si>
    <t>NCD0603R3</t>
  </si>
  <si>
    <t>NCD0603W3</t>
  </si>
  <si>
    <t>MHP5050RGBDT</t>
  </si>
  <si>
    <t>G7P03L</t>
  </si>
  <si>
    <t>AO3407</t>
  </si>
  <si>
    <t>MMBT3904M</t>
  </si>
  <si>
    <t>RC0603FR-071KL</t>
  </si>
  <si>
    <t>RC0603FR-0710KL</t>
  </si>
  <si>
    <t>0805W4J082LT5E</t>
  </si>
  <si>
    <t>RC0603FR-0710RL</t>
  </si>
  <si>
    <t>RC0603JR-070RL</t>
  </si>
  <si>
    <t>RT0603BRD0747KL</t>
  </si>
  <si>
    <t>RC0603FR-0715KL</t>
  </si>
  <si>
    <t>RC0603JR-074K7L</t>
  </si>
  <si>
    <t>RC0603FR-0724KL</t>
  </si>
  <si>
    <t>RC0603FR-072K74L</t>
  </si>
  <si>
    <t>RC0603FR-0751RL</t>
  </si>
  <si>
    <t>RC0603FR-0733RL</t>
  </si>
  <si>
    <t>RC0603FR-0791RL</t>
  </si>
  <si>
    <t>RC0603FR-0722RL</t>
  </si>
  <si>
    <t>RC0603FR-072K2L</t>
  </si>
  <si>
    <t>RC0603FR-075K1L</t>
  </si>
  <si>
    <t>RC0603FR-0773K2L</t>
  </si>
  <si>
    <t>ST-1112RA-P</t>
  </si>
  <si>
    <t>TS-1109S-B-J</t>
  </si>
  <si>
    <t>CH224K</t>
  </si>
  <si>
    <t>TP5100</t>
  </si>
  <si>
    <t>TPS70933DBVR</t>
  </si>
  <si>
    <t>ESP32-WROOM-32E-N8</t>
  </si>
  <si>
    <t>ES8388</t>
  </si>
  <si>
    <t>PAM8006ATR</t>
  </si>
  <si>
    <t>Manufacturer</t>
  </si>
  <si>
    <t>Yageo</t>
  </si>
  <si>
    <t>Panasonic</t>
  </si>
  <si>
    <t>Kyocera AVX</t>
  </si>
  <si>
    <t>Murata</t>
  </si>
  <si>
    <t>ON Semiconductor / Fairchild</t>
  </si>
  <si>
    <t>Nexperia</t>
  </si>
  <si>
    <t>MDD</t>
  </si>
  <si>
    <t>Diodes</t>
  </si>
  <si>
    <t>BHFUSE</t>
  </si>
  <si>
    <t>Taiyo Yuden</t>
  </si>
  <si>
    <t>Korean Hroparts Elec</t>
  </si>
  <si>
    <t>JST</t>
  </si>
  <si>
    <t>BOOMELE</t>
  </si>
  <si>
    <t>DEALON</t>
  </si>
  <si>
    <t>Wurth Electronics</t>
  </si>
  <si>
    <t>YJYCOIN</t>
  </si>
  <si>
    <t>Foshan NationStar Optoelectronics</t>
  </si>
  <si>
    <t>MEIHUA</t>
  </si>
  <si>
    <t>GoFord</t>
  </si>
  <si>
    <t>Guangdong Hottech</t>
  </si>
  <si>
    <t>TECH PUBLIC</t>
  </si>
  <si>
    <t>UNI-ROYAL(Uniroyal Elec)</t>
  </si>
  <si>
    <t>XKB Connectivity</t>
  </si>
  <si>
    <t>RI SHENG</t>
  </si>
  <si>
    <t>Rohm</t>
  </si>
  <si>
    <t>WCH(Jiangsu Qin Heng)</t>
  </si>
  <si>
    <t>Texas Instruments</t>
  </si>
  <si>
    <t>TOPPOWER(Nanjing Extension Microelectronics)</t>
  </si>
  <si>
    <t>XLSEMI</t>
  </si>
  <si>
    <t>Espressif Systems</t>
  </si>
  <si>
    <t>Everest-semi</t>
  </si>
  <si>
    <t>XL6019E1</t>
  </si>
  <si>
    <t>10nF</t>
  </si>
  <si>
    <t>22uF</t>
  </si>
  <si>
    <t>330uF</t>
  </si>
  <si>
    <t>1uF</t>
  </si>
  <si>
    <t>100nF</t>
  </si>
  <si>
    <t>10uF</t>
  </si>
  <si>
    <t>100uF</t>
  </si>
  <si>
    <t>4.7uF</t>
  </si>
  <si>
    <t>33pF</t>
  </si>
  <si>
    <t>200pF</t>
  </si>
  <si>
    <t>DNP</t>
  </si>
  <si>
    <t>22UH</t>
  </si>
  <si>
    <t>47uH</t>
  </si>
  <si>
    <t>1K</t>
  </si>
  <si>
    <t>10K</t>
  </si>
  <si>
    <t>82mΩ</t>
  </si>
  <si>
    <t>10R</t>
  </si>
  <si>
    <t>0R</t>
  </si>
  <si>
    <t>47K</t>
  </si>
  <si>
    <t>15K</t>
  </si>
  <si>
    <t>4.7K</t>
  </si>
  <si>
    <t>24K</t>
  </si>
  <si>
    <t>2.74K</t>
  </si>
  <si>
    <t>51R</t>
  </si>
  <si>
    <t>33R</t>
  </si>
  <si>
    <t>91R</t>
  </si>
  <si>
    <t>22R</t>
  </si>
  <si>
    <t>2.2K</t>
  </si>
  <si>
    <t>5.1K</t>
  </si>
  <si>
    <t>73.2K</t>
  </si>
  <si>
    <t>Bill of Materials for Project [IoT-Speaker]</t>
  </si>
  <si>
    <t>IoT-Speaker</t>
  </si>
  <si>
    <t>Custom</t>
  </si>
  <si>
    <t>-</t>
  </si>
  <si>
    <t>Value</t>
  </si>
  <si>
    <t>Quantity (5 Boards)</t>
  </si>
  <si>
    <t>Remarks</t>
  </si>
  <si>
    <t>Quantity (2 Boards)</t>
  </si>
  <si>
    <t>C7, C59</t>
  </si>
  <si>
    <t>C10, C11</t>
  </si>
  <si>
    <t>C14, C35, C36, C47, C49, C51, C53, C55, C56, C57, C58, C60, C63, C64, C67, C69, C70, C72, C73, C75, C78, C79</t>
  </si>
  <si>
    <t>C16</t>
  </si>
  <si>
    <t>C23, C28, C31, C33, C39, C45</t>
  </si>
  <si>
    <t>C25, C26, C27</t>
  </si>
  <si>
    <t>C42, C44 , C80</t>
  </si>
  <si>
    <t>C48, C54, C65, C71</t>
  </si>
  <si>
    <t>C74</t>
  </si>
  <si>
    <t>CAP CER 100PF 50V C0G/NPO 0603</t>
  </si>
  <si>
    <t>CC0603JRNPO9BN101</t>
  </si>
  <si>
    <t>C76</t>
  </si>
  <si>
    <t>R3, R7, R12, R42</t>
  </si>
  <si>
    <t>R9</t>
  </si>
  <si>
    <t>R10</t>
  </si>
  <si>
    <t>R11</t>
  </si>
  <si>
    <t>R16, R19, R21, R23, R28, R29</t>
  </si>
  <si>
    <t>R22</t>
  </si>
  <si>
    <t>R30, R31</t>
  </si>
  <si>
    <t>R32</t>
  </si>
  <si>
    <t>R33, R34, R35, R36, R37</t>
  </si>
  <si>
    <t>R38, R39, R40, R41, R55</t>
  </si>
  <si>
    <t>R43, R45</t>
  </si>
  <si>
    <t>R48, R49, R50, R51</t>
  </si>
  <si>
    <t>R53</t>
  </si>
  <si>
    <t>SB1, SB2, SB4, SB5, SB6, SB7, SB8, SB9, SB10, SB11</t>
  </si>
  <si>
    <t>SW1, SW2</t>
  </si>
  <si>
    <t>SW3</t>
  </si>
  <si>
    <t>SW4, SW5, SW6, SW7</t>
  </si>
  <si>
    <t>SW8</t>
  </si>
  <si>
    <t>IC SUPERVISOR 1 CHANNEL 5VSOF</t>
  </si>
  <si>
    <t>BD4860FVE-TR</t>
  </si>
  <si>
    <t>SPX3819 Series 3.3 V 500 mA Fixed Output SMT LDO Regulator - SOT-23-5</t>
  </si>
  <si>
    <t>SPX3819M5-L-3-3/TR</t>
  </si>
  <si>
    <t>MaxLinear</t>
  </si>
  <si>
    <t>Battery</t>
  </si>
  <si>
    <t>Peripheral</t>
  </si>
  <si>
    <t>104050 3.7V 2600mAh Li-polymer Battery For GPS MP3 Bluetooth Headset Power Bank Rechargeable Lithium Batteria</t>
  </si>
  <si>
    <t>Adapter</t>
  </si>
  <si>
    <t>20W PD Charger Quick Charge 4.0 3.0 USB Type C Wall Adapter QC Fast Charging</t>
  </si>
  <si>
    <t>100pF</t>
  </si>
  <si>
    <t>C1, C5, C50, C52, C61, C66, C68</t>
  </si>
  <si>
    <t>C2, C3, C4, C6, C8, C12, C13, C62, C77, C81</t>
  </si>
  <si>
    <t>CAP CER 0.1UF 50V X5R 0603</t>
  </si>
  <si>
    <t>CC0603KRX5R9BB104</t>
  </si>
  <si>
    <t>C9, C15, C17, C18, C19, C20, C21, C22, C24, C29, C30, C32, C34, C38, C40, C41, C43, C46</t>
  </si>
  <si>
    <t>GRM1555C1E330JA01D</t>
  </si>
  <si>
    <t>C37</t>
  </si>
  <si>
    <t>CAP CER 10UF 10V X5R 0603</t>
  </si>
  <si>
    <t>CC0603KRX5R6BB106</t>
  </si>
  <si>
    <t>D3, D5</t>
  </si>
  <si>
    <t>FB1, FB2, FB3</t>
  </si>
  <si>
    <t>FB4, FB5, FB6, FB7</t>
  </si>
  <si>
    <t>P1, P2, P3, P4, P5, P6, P7, P8, P9, P10, P11, P12, P13, P14, P15</t>
  </si>
  <si>
    <t>Q2, Q3, Q4</t>
  </si>
  <si>
    <t>R1, R4, R8, R13, R17, R18, R20, R24, R25, R26, R27, R46, R47, R54</t>
  </si>
  <si>
    <t>R2</t>
  </si>
  <si>
    <t>RES SMD 3.3K OHM 1% 1/10W 0603</t>
  </si>
  <si>
    <t>RC0603FR-073K3L</t>
  </si>
  <si>
    <t>Yageo Phycomp</t>
  </si>
  <si>
    <t>R5, R44, R52</t>
  </si>
  <si>
    <t>R6</t>
  </si>
  <si>
    <t>RES 100K OHM 5% 1/10W 0603</t>
  </si>
  <si>
    <t>RC0603JR-07100KL</t>
  </si>
  <si>
    <t>Quantity</t>
  </si>
  <si>
    <t>3.3K</t>
  </si>
  <si>
    <t>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</si>
</sst>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19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3" xfId="0" applyFill="1" applyBorder="1"/>
    <xf numFmtId="0" fontId="19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8" xfId="0" applyFill="1" applyBorder="1" applyAlignment="1">
      <alignment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vertical="center"/>
    </xf>
    <xf numFmtId="0" fontId="17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2</xdr:row>
      <xdr:rowOff>10417</xdr:rowOff>
    </xdr:from>
    <xdr:to>
      <xdr:col>11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2</xdr:row>
      <xdr:rowOff>10417</xdr:rowOff>
    </xdr:from>
    <xdr:to>
      <xdr:col>11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4950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82"/>
  <sheetViews>
    <sheetView tabSelected="1" workbookViewId="0">
      <selection activeCell="M9" sqref="M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8" bestFit="1" customWidth="1"/>
    <col min="11" max="11" width="25.28515625" bestFit="1" customWidth="1"/>
    <col min="12" max="12" width="26.85546875" bestFit="1" customWidth="1"/>
  </cols>
  <sheetData>
    <row r="1" spans="1:12" ht="15.75" thickBot="1" x14ac:dyDescent="0.3">
      <c r="A1" s="1"/>
      <c r="B1" s="20"/>
      <c r="C1" s="20"/>
      <c r="D1" s="2"/>
      <c r="E1" s="2"/>
      <c r="F1" s="2"/>
      <c r="G1" s="2"/>
      <c r="H1" s="2"/>
      <c r="I1" s="64"/>
      <c r="J1" s="64"/>
      <c r="K1" s="64"/>
      <c r="L1" s="65"/>
    </row>
    <row r="2" spans="1:12" ht="32.25" thickBot="1" x14ac:dyDescent="0.3">
      <c r="A2" s="1"/>
      <c r="B2" s="21"/>
      <c r="C2" s="31"/>
      <c r="D2" s="11" t="s">
        <v>0</v>
      </c>
      <c r="E2" s="11"/>
      <c r="F2" s="51" t="s">
        <v>267</v>
      </c>
      <c r="G2" s="12"/>
      <c r="H2" s="4"/>
      <c r="I2" s="4"/>
      <c r="J2" s="4"/>
      <c r="K2" s="4"/>
      <c r="L2" s="3"/>
    </row>
    <row r="3" spans="1:12" x14ac:dyDescent="0.25">
      <c r="A3" s="1"/>
      <c r="B3" s="22"/>
      <c r="C3" s="32"/>
      <c r="D3" s="13" t="s">
        <v>1</v>
      </c>
      <c r="E3" s="13"/>
      <c r="F3" s="52" t="s">
        <v>268</v>
      </c>
      <c r="G3" s="13"/>
      <c r="H3" s="5"/>
      <c r="I3" s="5"/>
      <c r="J3" s="5"/>
      <c r="K3" s="5"/>
      <c r="L3" s="66"/>
    </row>
    <row r="4" spans="1:12" x14ac:dyDescent="0.25">
      <c r="A4" s="1"/>
      <c r="B4" s="22"/>
      <c r="C4" s="32"/>
      <c r="D4" s="13" t="s">
        <v>2</v>
      </c>
      <c r="E4" s="13"/>
      <c r="F4" s="52" t="s">
        <v>268</v>
      </c>
      <c r="G4" s="14"/>
      <c r="H4" s="7"/>
      <c r="I4" s="7"/>
      <c r="J4" s="6"/>
      <c r="K4" s="6"/>
      <c r="L4" s="67"/>
    </row>
    <row r="5" spans="1:12" x14ac:dyDescent="0.25">
      <c r="A5" s="1"/>
      <c r="B5" s="22"/>
      <c r="C5" s="32"/>
      <c r="D5" s="13" t="s">
        <v>3</v>
      </c>
      <c r="E5" s="13"/>
      <c r="F5" s="53" t="s">
        <v>5</v>
      </c>
      <c r="G5" s="15"/>
      <c r="H5" s="6"/>
      <c r="I5" s="6"/>
      <c r="J5" s="6"/>
      <c r="K5" s="6"/>
      <c r="L5" s="67"/>
    </row>
    <row r="6" spans="1:12" x14ac:dyDescent="0.25">
      <c r="A6" s="1"/>
      <c r="B6" s="23"/>
      <c r="C6" s="33"/>
      <c r="D6" s="16"/>
      <c r="E6" s="16"/>
      <c r="F6" s="17"/>
      <c r="G6" s="15"/>
      <c r="H6" s="6"/>
      <c r="I6" s="6"/>
      <c r="J6" s="6"/>
      <c r="K6" s="6"/>
      <c r="L6" s="67"/>
    </row>
    <row r="7" spans="1:12" x14ac:dyDescent="0.25">
      <c r="A7" s="1"/>
      <c r="B7" s="24"/>
      <c r="C7" s="34"/>
      <c r="D7" s="18"/>
      <c r="E7" s="18"/>
      <c r="F7" s="19"/>
      <c r="G7" s="18"/>
      <c r="H7" s="8"/>
      <c r="I7" s="8"/>
      <c r="J7" s="8"/>
      <c r="K7" s="8"/>
      <c r="L7" s="67"/>
    </row>
    <row r="8" spans="1:12" ht="15.75" thickBot="1" x14ac:dyDescent="0.3">
      <c r="A8" s="1"/>
      <c r="B8" s="27"/>
      <c r="C8" s="35"/>
      <c r="D8" s="28"/>
      <c r="E8" s="28"/>
      <c r="F8" s="29"/>
      <c r="G8" s="18"/>
      <c r="H8" s="8"/>
      <c r="I8" s="8"/>
      <c r="J8" s="8"/>
      <c r="K8" s="8"/>
      <c r="L8" s="67"/>
    </row>
    <row r="9" spans="1:12" ht="15.75" thickBot="1" x14ac:dyDescent="0.3">
      <c r="A9" s="1"/>
      <c r="B9" s="30" t="s">
        <v>4</v>
      </c>
      <c r="C9" s="30" t="s">
        <v>6</v>
      </c>
      <c r="D9" s="30" t="s">
        <v>26</v>
      </c>
      <c r="E9" s="30" t="s">
        <v>55</v>
      </c>
      <c r="F9" s="30" t="s">
        <v>118</v>
      </c>
      <c r="G9" s="30" t="s">
        <v>151</v>
      </c>
      <c r="H9" s="30" t="s">
        <v>204</v>
      </c>
      <c r="I9" s="30" t="s">
        <v>271</v>
      </c>
      <c r="J9" s="30" t="s">
        <v>339</v>
      </c>
      <c r="K9" s="30" t="s">
        <v>272</v>
      </c>
      <c r="L9" s="30" t="s">
        <v>273</v>
      </c>
    </row>
    <row r="10" spans="1:12" x14ac:dyDescent="0.25">
      <c r="A10" s="1"/>
      <c r="B10" s="45">
        <f t="shared" ref="B10:B21" si="0">ROW(B10) - ROW($B$9)</f>
        <v>1</v>
      </c>
      <c r="C10" s="48" t="s">
        <v>7</v>
      </c>
      <c r="D10" s="62" t="s">
        <v>316</v>
      </c>
      <c r="E10" s="47" t="s">
        <v>60</v>
      </c>
      <c r="F10" s="47" t="s">
        <v>121</v>
      </c>
      <c r="G10" s="47" t="s">
        <v>155</v>
      </c>
      <c r="H10" s="47" t="s">
        <v>205</v>
      </c>
      <c r="I10" s="47" t="s">
        <v>242</v>
      </c>
      <c r="J10" s="37">
        <v>7</v>
      </c>
      <c r="K10" s="37">
        <f>J10*5</f>
        <v>35</v>
      </c>
      <c r="L10" s="46"/>
    </row>
    <row r="11" spans="1:12" ht="24" x14ac:dyDescent="0.25">
      <c r="A11" s="1"/>
      <c r="B11" s="44">
        <f t="shared" si="0"/>
        <v>2</v>
      </c>
      <c r="C11" s="48" t="s">
        <v>7</v>
      </c>
      <c r="D11" s="63" t="s">
        <v>317</v>
      </c>
      <c r="E11" s="37" t="s">
        <v>318</v>
      </c>
      <c r="F11" s="37" t="s">
        <v>119</v>
      </c>
      <c r="G11" s="37" t="s">
        <v>319</v>
      </c>
      <c r="H11" s="37" t="s">
        <v>205</v>
      </c>
      <c r="I11" s="37" t="s">
        <v>241</v>
      </c>
      <c r="J11" s="47">
        <v>10</v>
      </c>
      <c r="K11" s="37">
        <f t="shared" ref="K11:K74" si="1">J11*5</f>
        <v>50</v>
      </c>
      <c r="L11" s="47"/>
    </row>
    <row r="12" spans="1:12" x14ac:dyDescent="0.25">
      <c r="A12" s="1"/>
      <c r="B12" s="44">
        <f t="shared" si="0"/>
        <v>3</v>
      </c>
      <c r="C12" s="48" t="s">
        <v>7</v>
      </c>
      <c r="D12" s="62" t="s">
        <v>275</v>
      </c>
      <c r="E12" s="37" t="s">
        <v>58</v>
      </c>
      <c r="F12" s="37" t="s">
        <v>269</v>
      </c>
      <c r="G12" s="37" t="s">
        <v>120</v>
      </c>
      <c r="H12" s="37" t="s">
        <v>206</v>
      </c>
      <c r="I12" s="37" t="s">
        <v>239</v>
      </c>
      <c r="J12" s="37">
        <v>2</v>
      </c>
      <c r="K12" s="37">
        <f t="shared" si="1"/>
        <v>10</v>
      </c>
      <c r="L12" s="54"/>
    </row>
    <row r="13" spans="1:12" ht="36" x14ac:dyDescent="0.25">
      <c r="A13" s="1"/>
      <c r="B13" s="45">
        <f t="shared" si="0"/>
        <v>4</v>
      </c>
      <c r="C13" s="49" t="s">
        <v>7</v>
      </c>
      <c r="D13" s="63" t="s">
        <v>320</v>
      </c>
      <c r="E13" s="47" t="s">
        <v>61</v>
      </c>
      <c r="F13" s="47" t="s">
        <v>122</v>
      </c>
      <c r="G13" s="47" t="s">
        <v>156</v>
      </c>
      <c r="H13" s="47" t="s">
        <v>205</v>
      </c>
      <c r="I13" s="47" t="s">
        <v>241</v>
      </c>
      <c r="J13" s="47">
        <v>18</v>
      </c>
      <c r="K13" s="37">
        <f t="shared" si="1"/>
        <v>90</v>
      </c>
      <c r="L13" s="54"/>
    </row>
    <row r="14" spans="1:12" x14ac:dyDescent="0.25">
      <c r="A14" s="1"/>
      <c r="B14" s="44">
        <f t="shared" si="0"/>
        <v>5</v>
      </c>
      <c r="C14" s="48" t="s">
        <v>7</v>
      </c>
      <c r="D14" s="62" t="s">
        <v>276</v>
      </c>
      <c r="E14" s="37" t="s">
        <v>62</v>
      </c>
      <c r="F14" s="37" t="s">
        <v>269</v>
      </c>
      <c r="G14" s="37" t="s">
        <v>123</v>
      </c>
      <c r="H14" s="37" t="s">
        <v>206</v>
      </c>
      <c r="I14" s="37" t="s">
        <v>243</v>
      </c>
      <c r="J14" s="37">
        <v>2</v>
      </c>
      <c r="K14" s="37">
        <f t="shared" si="1"/>
        <v>10</v>
      </c>
      <c r="L14" s="54"/>
    </row>
    <row r="15" spans="1:12" ht="48" x14ac:dyDescent="0.25">
      <c r="A15" s="1"/>
      <c r="B15" s="45">
        <f t="shared" si="0"/>
        <v>6</v>
      </c>
      <c r="C15" s="48" t="s">
        <v>7</v>
      </c>
      <c r="D15" s="63" t="s">
        <v>277</v>
      </c>
      <c r="E15" s="47" t="s">
        <v>59</v>
      </c>
      <c r="F15" s="47" t="s">
        <v>119</v>
      </c>
      <c r="G15" s="47" t="s">
        <v>154</v>
      </c>
      <c r="H15" s="47" t="s">
        <v>205</v>
      </c>
      <c r="I15" s="47" t="s">
        <v>240</v>
      </c>
      <c r="J15" s="47">
        <v>22</v>
      </c>
      <c r="K15" s="37">
        <f t="shared" si="1"/>
        <v>110</v>
      </c>
      <c r="L15" s="54"/>
    </row>
    <row r="16" spans="1:12" x14ac:dyDescent="0.25">
      <c r="A16" s="1"/>
      <c r="B16" s="45">
        <f t="shared" si="0"/>
        <v>7</v>
      </c>
      <c r="C16" s="48" t="s">
        <v>7</v>
      </c>
      <c r="D16" s="62" t="s">
        <v>278</v>
      </c>
      <c r="E16" s="47" t="s">
        <v>63</v>
      </c>
      <c r="F16" s="47" t="s">
        <v>124</v>
      </c>
      <c r="G16" s="47" t="s">
        <v>157</v>
      </c>
      <c r="H16" s="47" t="s">
        <v>207</v>
      </c>
      <c r="I16" s="47" t="s">
        <v>243</v>
      </c>
      <c r="J16" s="37">
        <v>1</v>
      </c>
      <c r="K16" s="37">
        <f t="shared" si="1"/>
        <v>5</v>
      </c>
      <c r="L16" s="54"/>
    </row>
    <row r="17" spans="1:12" x14ac:dyDescent="0.25">
      <c r="A17" s="1"/>
      <c r="B17" s="45">
        <f t="shared" si="0"/>
        <v>8</v>
      </c>
      <c r="C17" s="48" t="s">
        <v>7</v>
      </c>
      <c r="D17" s="63" t="s">
        <v>279</v>
      </c>
      <c r="E17" s="47" t="s">
        <v>64</v>
      </c>
      <c r="F17" s="47" t="s">
        <v>119</v>
      </c>
      <c r="G17" s="47" t="s">
        <v>158</v>
      </c>
      <c r="H17" s="47" t="s">
        <v>205</v>
      </c>
      <c r="I17" s="47" t="s">
        <v>244</v>
      </c>
      <c r="J17" s="47">
        <v>6</v>
      </c>
      <c r="K17" s="37">
        <f t="shared" si="1"/>
        <v>30</v>
      </c>
      <c r="L17" s="54"/>
    </row>
    <row r="18" spans="1:12" x14ac:dyDescent="0.25">
      <c r="A18" s="1"/>
      <c r="B18" s="44">
        <f t="shared" si="0"/>
        <v>9</v>
      </c>
      <c r="C18" s="48" t="s">
        <v>7</v>
      </c>
      <c r="D18" s="62" t="s">
        <v>280</v>
      </c>
      <c r="E18" s="37" t="s">
        <v>65</v>
      </c>
      <c r="F18" s="37" t="s">
        <v>122</v>
      </c>
      <c r="G18" s="55" t="s">
        <v>321</v>
      </c>
      <c r="H18" s="37" t="s">
        <v>208</v>
      </c>
      <c r="I18" s="37" t="s">
        <v>245</v>
      </c>
      <c r="J18" s="37">
        <v>3</v>
      </c>
      <c r="K18" s="37">
        <f t="shared" si="1"/>
        <v>15</v>
      </c>
      <c r="L18" s="54"/>
    </row>
    <row r="19" spans="1:12" x14ac:dyDescent="0.25">
      <c r="A19" s="1"/>
      <c r="B19" s="45">
        <f t="shared" si="0"/>
        <v>10</v>
      </c>
      <c r="C19" s="48" t="s">
        <v>7</v>
      </c>
      <c r="D19" s="63" t="s">
        <v>322</v>
      </c>
      <c r="E19" s="47" t="s">
        <v>323</v>
      </c>
      <c r="F19" s="47" t="s">
        <v>119</v>
      </c>
      <c r="G19" s="47" t="s">
        <v>324</v>
      </c>
      <c r="H19" s="47" t="s">
        <v>205</v>
      </c>
      <c r="I19" s="47" t="s">
        <v>242</v>
      </c>
      <c r="J19" s="47">
        <v>1</v>
      </c>
      <c r="K19" s="37">
        <f t="shared" si="1"/>
        <v>5</v>
      </c>
      <c r="L19" s="54"/>
    </row>
    <row r="20" spans="1:12" x14ac:dyDescent="0.25">
      <c r="A20" s="1"/>
      <c r="B20" s="44">
        <f t="shared" si="0"/>
        <v>11</v>
      </c>
      <c r="C20" s="48" t="s">
        <v>7</v>
      </c>
      <c r="D20" s="62" t="s">
        <v>281</v>
      </c>
      <c r="E20" s="37" t="s">
        <v>56</v>
      </c>
      <c r="F20" s="37" t="s">
        <v>119</v>
      </c>
      <c r="G20" s="37" t="s">
        <v>152</v>
      </c>
      <c r="H20" s="37" t="s">
        <v>205</v>
      </c>
      <c r="I20" s="37" t="s">
        <v>237</v>
      </c>
      <c r="J20" s="37">
        <v>3</v>
      </c>
      <c r="K20" s="37">
        <f t="shared" si="1"/>
        <v>15</v>
      </c>
      <c r="L20" s="54"/>
    </row>
    <row r="21" spans="1:12" x14ac:dyDescent="0.25">
      <c r="A21" s="1"/>
      <c r="B21" s="44">
        <f t="shared" si="0"/>
        <v>12</v>
      </c>
      <c r="C21" s="48" t="s">
        <v>7</v>
      </c>
      <c r="D21" s="63" t="s">
        <v>282</v>
      </c>
      <c r="E21" s="37" t="s">
        <v>66</v>
      </c>
      <c r="F21" s="37" t="s">
        <v>119</v>
      </c>
      <c r="G21" s="37" t="s">
        <v>159</v>
      </c>
      <c r="H21" s="37" t="s">
        <v>205</v>
      </c>
      <c r="I21" s="37" t="s">
        <v>246</v>
      </c>
      <c r="J21" s="47">
        <v>4</v>
      </c>
      <c r="K21" s="37">
        <f t="shared" si="1"/>
        <v>20</v>
      </c>
      <c r="L21" s="54"/>
    </row>
    <row r="22" spans="1:12" x14ac:dyDescent="0.25">
      <c r="A22" s="1"/>
      <c r="B22" s="44"/>
      <c r="C22" s="48"/>
      <c r="D22" s="62" t="s">
        <v>283</v>
      </c>
      <c r="E22" s="37" t="s">
        <v>284</v>
      </c>
      <c r="F22" s="37" t="s">
        <v>119</v>
      </c>
      <c r="G22" s="37" t="s">
        <v>285</v>
      </c>
      <c r="H22" s="37" t="s">
        <v>205</v>
      </c>
      <c r="I22" s="37" t="s">
        <v>315</v>
      </c>
      <c r="J22" s="37">
        <v>1</v>
      </c>
      <c r="K22" s="37">
        <f t="shared" si="1"/>
        <v>5</v>
      </c>
      <c r="L22" s="54"/>
    </row>
    <row r="23" spans="1:12" x14ac:dyDescent="0.25">
      <c r="A23" s="1"/>
      <c r="B23" s="45">
        <f t="shared" ref="B23:B80" si="2">ROW(B23) - ROW($B$9)</f>
        <v>14</v>
      </c>
      <c r="C23" s="48" t="s">
        <v>7</v>
      </c>
      <c r="D23" s="63" t="s">
        <v>286</v>
      </c>
      <c r="E23" s="47" t="s">
        <v>57</v>
      </c>
      <c r="F23" s="47" t="s">
        <v>119</v>
      </c>
      <c r="G23" s="47" t="s">
        <v>153</v>
      </c>
      <c r="H23" s="47" t="s">
        <v>205</v>
      </c>
      <c r="I23" s="47" t="s">
        <v>238</v>
      </c>
      <c r="J23" s="47">
        <v>1</v>
      </c>
      <c r="K23" s="37">
        <f t="shared" si="1"/>
        <v>5</v>
      </c>
      <c r="L23" s="54"/>
    </row>
    <row r="24" spans="1:12" ht="24" x14ac:dyDescent="0.25">
      <c r="A24" s="1"/>
      <c r="B24" s="45">
        <f t="shared" si="2"/>
        <v>15</v>
      </c>
      <c r="C24" s="48" t="s">
        <v>9</v>
      </c>
      <c r="D24" s="63" t="s">
        <v>27</v>
      </c>
      <c r="E24" s="47" t="s">
        <v>67</v>
      </c>
      <c r="F24" s="47" t="s">
        <v>125</v>
      </c>
      <c r="G24" s="47" t="s">
        <v>160</v>
      </c>
      <c r="H24" s="47" t="s">
        <v>209</v>
      </c>
      <c r="I24" s="47" t="s">
        <v>270</v>
      </c>
      <c r="J24" s="47">
        <v>2</v>
      </c>
      <c r="K24" s="37">
        <f t="shared" si="1"/>
        <v>10</v>
      </c>
      <c r="L24" s="54"/>
    </row>
    <row r="25" spans="1:12" x14ac:dyDescent="0.25">
      <c r="A25" s="1"/>
      <c r="B25" s="44">
        <f>ROW(B25) - ROW($B$9)</f>
        <v>16</v>
      </c>
      <c r="C25" s="48" t="s">
        <v>8</v>
      </c>
      <c r="D25" s="62" t="s">
        <v>28</v>
      </c>
      <c r="E25" s="37" t="s">
        <v>68</v>
      </c>
      <c r="F25" s="37" t="s">
        <v>126</v>
      </c>
      <c r="G25" s="37" t="s">
        <v>161</v>
      </c>
      <c r="H25" s="37" t="s">
        <v>210</v>
      </c>
      <c r="I25" s="47" t="s">
        <v>270</v>
      </c>
      <c r="J25" s="37">
        <v>1</v>
      </c>
      <c r="K25" s="37">
        <f t="shared" si="1"/>
        <v>5</v>
      </c>
      <c r="L25" s="54"/>
    </row>
    <row r="26" spans="1:12" ht="36" x14ac:dyDescent="0.25">
      <c r="A26" s="1"/>
      <c r="B26" s="45">
        <f t="shared" si="2"/>
        <v>17</v>
      </c>
      <c r="C26" s="49" t="s">
        <v>9</v>
      </c>
      <c r="D26" s="63" t="s">
        <v>325</v>
      </c>
      <c r="E26" s="47" t="s">
        <v>69</v>
      </c>
      <c r="F26" s="47" t="s">
        <v>127</v>
      </c>
      <c r="G26" s="47" t="s">
        <v>162</v>
      </c>
      <c r="H26" s="47" t="s">
        <v>211</v>
      </c>
      <c r="I26" s="47" t="s">
        <v>270</v>
      </c>
      <c r="J26" s="47">
        <v>2</v>
      </c>
      <c r="K26" s="37">
        <f t="shared" si="1"/>
        <v>10</v>
      </c>
      <c r="L26" s="54"/>
    </row>
    <row r="27" spans="1:12" x14ac:dyDescent="0.25">
      <c r="A27" s="1"/>
      <c r="B27" s="44">
        <f>ROW(B27) - ROW($B$9)</f>
        <v>18</v>
      </c>
      <c r="C27" s="48" t="s">
        <v>9</v>
      </c>
      <c r="D27" s="62" t="s">
        <v>29</v>
      </c>
      <c r="E27" s="37" t="s">
        <v>70</v>
      </c>
      <c r="F27" s="37" t="s">
        <v>126</v>
      </c>
      <c r="G27" s="37" t="s">
        <v>163</v>
      </c>
      <c r="H27" s="37" t="s">
        <v>212</v>
      </c>
      <c r="I27" s="47" t="s">
        <v>270</v>
      </c>
      <c r="J27" s="37">
        <v>2</v>
      </c>
      <c r="K27" s="37">
        <f t="shared" si="1"/>
        <v>10</v>
      </c>
      <c r="L27" s="54"/>
    </row>
    <row r="28" spans="1:12" ht="36" x14ac:dyDescent="0.25">
      <c r="A28" s="1"/>
      <c r="B28" s="45">
        <f t="shared" si="2"/>
        <v>19</v>
      </c>
      <c r="C28" s="49" t="s">
        <v>10</v>
      </c>
      <c r="D28" s="63" t="s">
        <v>30</v>
      </c>
      <c r="E28" s="47" t="s">
        <v>71</v>
      </c>
      <c r="F28" s="47" t="s">
        <v>128</v>
      </c>
      <c r="G28" s="47" t="s">
        <v>164</v>
      </c>
      <c r="H28" s="47" t="s">
        <v>213</v>
      </c>
      <c r="I28" s="47" t="s">
        <v>270</v>
      </c>
      <c r="J28" s="47">
        <v>1</v>
      </c>
      <c r="K28" s="37">
        <f t="shared" si="1"/>
        <v>5</v>
      </c>
      <c r="L28" s="54"/>
    </row>
    <row r="29" spans="1:12" x14ac:dyDescent="0.25">
      <c r="A29" s="1"/>
      <c r="B29" s="44">
        <f>ROW(B29) - ROW($B$9)</f>
        <v>20</v>
      </c>
      <c r="C29" s="48" t="s">
        <v>11</v>
      </c>
      <c r="D29" s="62" t="s">
        <v>326</v>
      </c>
      <c r="E29" s="37" t="s">
        <v>72</v>
      </c>
      <c r="F29" s="37" t="s">
        <v>129</v>
      </c>
      <c r="G29" s="37" t="s">
        <v>165</v>
      </c>
      <c r="H29" s="37" t="s">
        <v>208</v>
      </c>
      <c r="I29" s="47" t="s">
        <v>270</v>
      </c>
      <c r="J29" s="37">
        <v>3</v>
      </c>
      <c r="K29" s="37">
        <f t="shared" si="1"/>
        <v>15</v>
      </c>
      <c r="L29" s="54"/>
    </row>
    <row r="30" spans="1:12" x14ac:dyDescent="0.25">
      <c r="A30" s="1"/>
      <c r="B30" s="45">
        <f t="shared" si="2"/>
        <v>21</v>
      </c>
      <c r="C30" s="49" t="s">
        <v>11</v>
      </c>
      <c r="D30" s="63" t="s">
        <v>327</v>
      </c>
      <c r="E30" s="47" t="s">
        <v>73</v>
      </c>
      <c r="F30" s="47" t="s">
        <v>130</v>
      </c>
      <c r="G30" s="47" t="s">
        <v>166</v>
      </c>
      <c r="H30" s="47" t="s">
        <v>214</v>
      </c>
      <c r="I30" s="47" t="s">
        <v>270</v>
      </c>
      <c r="J30" s="47">
        <v>4</v>
      </c>
      <c r="K30" s="37">
        <f t="shared" si="1"/>
        <v>20</v>
      </c>
      <c r="L30" s="54"/>
    </row>
    <row r="31" spans="1:12" ht="24" x14ac:dyDescent="0.25">
      <c r="A31" s="1"/>
      <c r="B31" s="44">
        <f>ROW(B31) - ROW($B$9)</f>
        <v>22</v>
      </c>
      <c r="C31" s="48" t="s">
        <v>12</v>
      </c>
      <c r="D31" s="62" t="s">
        <v>31</v>
      </c>
      <c r="E31" s="37" t="s">
        <v>74</v>
      </c>
      <c r="F31" s="37" t="s">
        <v>269</v>
      </c>
      <c r="G31" s="37" t="s">
        <v>167</v>
      </c>
      <c r="H31" s="37" t="s">
        <v>215</v>
      </c>
      <c r="I31" s="47" t="s">
        <v>270</v>
      </c>
      <c r="J31" s="37">
        <v>1</v>
      </c>
      <c r="K31" s="37">
        <f t="shared" si="1"/>
        <v>5</v>
      </c>
      <c r="L31" s="54"/>
    </row>
    <row r="32" spans="1:12" ht="24" x14ac:dyDescent="0.25">
      <c r="A32" s="1"/>
      <c r="B32" s="45">
        <f t="shared" si="2"/>
        <v>23</v>
      </c>
      <c r="C32" s="49" t="s">
        <v>13</v>
      </c>
      <c r="D32" s="63" t="s">
        <v>32</v>
      </c>
      <c r="E32" s="47" t="s">
        <v>75</v>
      </c>
      <c r="F32" s="47" t="s">
        <v>269</v>
      </c>
      <c r="G32" s="47" t="s">
        <v>168</v>
      </c>
      <c r="H32" s="47" t="s">
        <v>216</v>
      </c>
      <c r="I32" s="47" t="s">
        <v>270</v>
      </c>
      <c r="J32" s="47">
        <v>1</v>
      </c>
      <c r="K32" s="37">
        <f t="shared" si="1"/>
        <v>5</v>
      </c>
      <c r="L32" s="54"/>
    </row>
    <row r="33" spans="1:12" ht="24" x14ac:dyDescent="0.25">
      <c r="A33" s="1"/>
      <c r="B33" s="44">
        <f>ROW(B33) - ROW($B$9)</f>
        <v>24</v>
      </c>
      <c r="C33" s="48" t="s">
        <v>14</v>
      </c>
      <c r="D33" s="62" t="s">
        <v>33</v>
      </c>
      <c r="E33" s="37" t="s">
        <v>76</v>
      </c>
      <c r="F33" s="37" t="s">
        <v>269</v>
      </c>
      <c r="G33" s="37" t="s">
        <v>169</v>
      </c>
      <c r="H33" s="37" t="s">
        <v>217</v>
      </c>
      <c r="I33" s="47" t="s">
        <v>270</v>
      </c>
      <c r="J33" s="37">
        <v>1</v>
      </c>
      <c r="K33" s="37">
        <f t="shared" si="1"/>
        <v>5</v>
      </c>
      <c r="L33" s="54"/>
    </row>
    <row r="34" spans="1:12" ht="48" x14ac:dyDescent="0.25">
      <c r="A34" s="1"/>
      <c r="B34" s="45">
        <f t="shared" si="2"/>
        <v>25</v>
      </c>
      <c r="C34" s="49" t="s">
        <v>13</v>
      </c>
      <c r="D34" s="56" t="s">
        <v>34</v>
      </c>
      <c r="E34" s="56" t="s">
        <v>77</v>
      </c>
      <c r="F34" s="56" t="s">
        <v>269</v>
      </c>
      <c r="G34" s="56" t="s">
        <v>131</v>
      </c>
      <c r="H34" s="56" t="s">
        <v>218</v>
      </c>
      <c r="I34" s="56" t="s">
        <v>247</v>
      </c>
      <c r="J34" s="56">
        <v>1</v>
      </c>
      <c r="K34" s="37">
        <f t="shared" si="1"/>
        <v>5</v>
      </c>
      <c r="L34" s="54"/>
    </row>
    <row r="35" spans="1:12" x14ac:dyDescent="0.25">
      <c r="A35" s="1"/>
      <c r="B35" s="44">
        <f>ROW(B35) - ROW($B$9)</f>
        <v>26</v>
      </c>
      <c r="C35" s="48" t="s">
        <v>15</v>
      </c>
      <c r="D35" s="62" t="s">
        <v>35</v>
      </c>
      <c r="E35" s="37" t="s">
        <v>78</v>
      </c>
      <c r="F35" s="37" t="s">
        <v>132</v>
      </c>
      <c r="G35" s="55">
        <v>61300211121</v>
      </c>
      <c r="H35" s="37" t="s">
        <v>219</v>
      </c>
      <c r="I35" s="37" t="s">
        <v>270</v>
      </c>
      <c r="J35" s="37">
        <v>2</v>
      </c>
      <c r="K35" s="37">
        <f t="shared" si="1"/>
        <v>10</v>
      </c>
      <c r="L35" s="54"/>
    </row>
    <row r="36" spans="1:12" ht="36" x14ac:dyDescent="0.25">
      <c r="A36" s="1"/>
      <c r="B36" s="45">
        <f t="shared" si="2"/>
        <v>27</v>
      </c>
      <c r="C36" s="49" t="s">
        <v>16</v>
      </c>
      <c r="D36" s="63" t="s">
        <v>36</v>
      </c>
      <c r="E36" s="47" t="s">
        <v>79</v>
      </c>
      <c r="F36" s="47" t="s">
        <v>269</v>
      </c>
      <c r="G36" s="47" t="s">
        <v>170</v>
      </c>
      <c r="H36" s="47" t="s">
        <v>220</v>
      </c>
      <c r="I36" s="47" t="s">
        <v>248</v>
      </c>
      <c r="J36" s="47">
        <v>1</v>
      </c>
      <c r="K36" s="37">
        <f t="shared" si="1"/>
        <v>5</v>
      </c>
      <c r="L36" s="54"/>
    </row>
    <row r="37" spans="1:12" ht="36" x14ac:dyDescent="0.25">
      <c r="A37" s="1"/>
      <c r="B37" s="44">
        <f>ROW(B37) - ROW($B$9)</f>
        <v>28</v>
      </c>
      <c r="C37" s="48" t="s">
        <v>16</v>
      </c>
      <c r="D37" s="62" t="s">
        <v>37</v>
      </c>
      <c r="E37" s="37" t="s">
        <v>80</v>
      </c>
      <c r="F37" s="37" t="s">
        <v>269</v>
      </c>
      <c r="G37" s="37" t="s">
        <v>171</v>
      </c>
      <c r="H37" s="37" t="s">
        <v>220</v>
      </c>
      <c r="I37" s="37" t="s">
        <v>249</v>
      </c>
      <c r="J37" s="37">
        <v>1</v>
      </c>
      <c r="K37" s="37">
        <f t="shared" si="1"/>
        <v>5</v>
      </c>
      <c r="L37" s="54"/>
    </row>
    <row r="38" spans="1:12" ht="24" x14ac:dyDescent="0.25">
      <c r="A38" s="1"/>
      <c r="B38" s="45">
        <f t="shared" si="2"/>
        <v>29</v>
      </c>
      <c r="C38" s="49" t="s">
        <v>17</v>
      </c>
      <c r="D38" s="63" t="s">
        <v>38</v>
      </c>
      <c r="E38" s="47" t="s">
        <v>81</v>
      </c>
      <c r="F38" s="47" t="s">
        <v>133</v>
      </c>
      <c r="G38" s="47" t="s">
        <v>172</v>
      </c>
      <c r="H38" s="47" t="s">
        <v>221</v>
      </c>
      <c r="I38" s="47" t="s">
        <v>270</v>
      </c>
      <c r="J38" s="47">
        <v>1</v>
      </c>
      <c r="K38" s="37">
        <f t="shared" si="1"/>
        <v>5</v>
      </c>
      <c r="L38" s="54"/>
    </row>
    <row r="39" spans="1:12" ht="24" x14ac:dyDescent="0.25">
      <c r="A39" s="1"/>
      <c r="B39" s="44">
        <f>ROW(B39) - ROW($B$9)</f>
        <v>30</v>
      </c>
      <c r="C39" s="48" t="s">
        <v>17</v>
      </c>
      <c r="D39" s="62" t="s">
        <v>39</v>
      </c>
      <c r="E39" s="37" t="s">
        <v>82</v>
      </c>
      <c r="F39" s="37" t="s">
        <v>133</v>
      </c>
      <c r="G39" s="37" t="s">
        <v>173</v>
      </c>
      <c r="H39" s="37" t="s">
        <v>221</v>
      </c>
      <c r="I39" s="37" t="s">
        <v>270</v>
      </c>
      <c r="J39" s="37">
        <v>1</v>
      </c>
      <c r="K39" s="37">
        <f t="shared" si="1"/>
        <v>5</v>
      </c>
      <c r="L39" s="54"/>
    </row>
    <row r="40" spans="1:12" ht="24" x14ac:dyDescent="0.25">
      <c r="A40" s="1"/>
      <c r="B40" s="45">
        <f t="shared" si="2"/>
        <v>31</v>
      </c>
      <c r="C40" s="49" t="s">
        <v>17</v>
      </c>
      <c r="D40" s="63" t="s">
        <v>40</v>
      </c>
      <c r="E40" s="47" t="s">
        <v>83</v>
      </c>
      <c r="F40" s="47" t="s">
        <v>133</v>
      </c>
      <c r="G40" s="47" t="s">
        <v>174</v>
      </c>
      <c r="H40" s="47" t="s">
        <v>221</v>
      </c>
      <c r="I40" s="37" t="s">
        <v>270</v>
      </c>
      <c r="J40" s="47">
        <v>1</v>
      </c>
      <c r="K40" s="37">
        <f t="shared" si="1"/>
        <v>5</v>
      </c>
      <c r="L40" s="54"/>
    </row>
    <row r="41" spans="1:12" ht="36" x14ac:dyDescent="0.25">
      <c r="A41" s="1"/>
      <c r="B41" s="44">
        <f>ROW(B41) - ROW($B$9)</f>
        <v>32</v>
      </c>
      <c r="C41" s="48" t="s">
        <v>18</v>
      </c>
      <c r="D41" s="62" t="s">
        <v>41</v>
      </c>
      <c r="E41" s="37" t="s">
        <v>84</v>
      </c>
      <c r="F41" s="37" t="s">
        <v>134</v>
      </c>
      <c r="G41" s="37" t="s">
        <v>175</v>
      </c>
      <c r="H41" s="37" t="s">
        <v>222</v>
      </c>
      <c r="I41" s="37" t="s">
        <v>270</v>
      </c>
      <c r="J41" s="37">
        <v>1</v>
      </c>
      <c r="K41" s="37">
        <f t="shared" si="1"/>
        <v>5</v>
      </c>
      <c r="L41" s="54"/>
    </row>
    <row r="42" spans="1:12" ht="24" x14ac:dyDescent="0.25">
      <c r="A42" s="1"/>
      <c r="B42" s="45">
        <f t="shared" si="2"/>
        <v>33</v>
      </c>
      <c r="C42" s="49" t="s">
        <v>19</v>
      </c>
      <c r="D42" s="56" t="s">
        <v>328</v>
      </c>
      <c r="E42" s="56" t="s">
        <v>85</v>
      </c>
      <c r="F42" s="56" t="s">
        <v>269</v>
      </c>
      <c r="G42" s="56" t="s">
        <v>270</v>
      </c>
      <c r="H42" s="56" t="s">
        <v>270</v>
      </c>
      <c r="I42" s="55" t="s">
        <v>270</v>
      </c>
      <c r="J42" s="56">
        <v>15</v>
      </c>
      <c r="K42" s="37">
        <f t="shared" si="1"/>
        <v>75</v>
      </c>
      <c r="L42" s="54"/>
    </row>
    <row r="43" spans="1:12" ht="24" x14ac:dyDescent="0.25">
      <c r="A43" s="1"/>
      <c r="B43" s="44">
        <f>ROW(B43) - ROW($B$9)</f>
        <v>34</v>
      </c>
      <c r="C43" s="48" t="s">
        <v>20</v>
      </c>
      <c r="D43" s="62" t="s">
        <v>42</v>
      </c>
      <c r="E43" s="37" t="s">
        <v>86</v>
      </c>
      <c r="F43" s="37" t="s">
        <v>135</v>
      </c>
      <c r="G43" s="37" t="s">
        <v>176</v>
      </c>
      <c r="H43" s="37" t="s">
        <v>223</v>
      </c>
      <c r="I43" s="37" t="s">
        <v>270</v>
      </c>
      <c r="J43" s="37">
        <v>1</v>
      </c>
      <c r="K43" s="37">
        <f t="shared" si="1"/>
        <v>5</v>
      </c>
      <c r="L43" s="54"/>
    </row>
    <row r="44" spans="1:12" ht="36" x14ac:dyDescent="0.25">
      <c r="A44" s="1"/>
      <c r="B44" s="45">
        <f t="shared" si="2"/>
        <v>35</v>
      </c>
      <c r="C44" s="49" t="s">
        <v>20</v>
      </c>
      <c r="D44" s="63" t="s">
        <v>329</v>
      </c>
      <c r="E44" s="47" t="s">
        <v>87</v>
      </c>
      <c r="F44" s="47" t="s">
        <v>136</v>
      </c>
      <c r="G44" s="47" t="s">
        <v>177</v>
      </c>
      <c r="H44" s="47" t="s">
        <v>224</v>
      </c>
      <c r="I44" s="37" t="s">
        <v>270</v>
      </c>
      <c r="J44" s="47">
        <v>3</v>
      </c>
      <c r="K44" s="37">
        <f t="shared" si="1"/>
        <v>15</v>
      </c>
      <c r="L44" s="54"/>
    </row>
    <row r="45" spans="1:12" ht="48" x14ac:dyDescent="0.25">
      <c r="A45" s="1"/>
      <c r="B45" s="44">
        <f t="shared" si="2"/>
        <v>36</v>
      </c>
      <c r="C45" s="48" t="s">
        <v>20</v>
      </c>
      <c r="D45" s="62" t="s">
        <v>43</v>
      </c>
      <c r="E45" s="37" t="s">
        <v>88</v>
      </c>
      <c r="F45" s="37" t="s">
        <v>137</v>
      </c>
      <c r="G45" s="37" t="s">
        <v>178</v>
      </c>
      <c r="H45" s="37" t="s">
        <v>225</v>
      </c>
      <c r="I45" s="37" t="s">
        <v>270</v>
      </c>
      <c r="J45" s="37">
        <v>4</v>
      </c>
      <c r="K45" s="37">
        <f t="shared" si="1"/>
        <v>20</v>
      </c>
      <c r="L45" s="54"/>
    </row>
    <row r="46" spans="1:12" ht="24" x14ac:dyDescent="0.25">
      <c r="A46" s="1"/>
      <c r="B46" s="44">
        <f t="shared" si="2"/>
        <v>37</v>
      </c>
      <c r="C46" s="49" t="s">
        <v>21</v>
      </c>
      <c r="D46" s="63" t="s">
        <v>330</v>
      </c>
      <c r="E46" s="37" t="s">
        <v>90</v>
      </c>
      <c r="F46" s="37" t="s">
        <v>138</v>
      </c>
      <c r="G46" s="37" t="s">
        <v>180</v>
      </c>
      <c r="H46" s="37" t="s">
        <v>205</v>
      </c>
      <c r="I46" s="37" t="s">
        <v>251</v>
      </c>
      <c r="J46" s="37">
        <v>14</v>
      </c>
      <c r="K46" s="37">
        <f t="shared" si="1"/>
        <v>70</v>
      </c>
      <c r="L46" s="54"/>
    </row>
    <row r="47" spans="1:12" x14ac:dyDescent="0.25">
      <c r="A47" s="1"/>
      <c r="B47" s="45">
        <f t="shared" si="2"/>
        <v>38</v>
      </c>
      <c r="C47" s="49" t="s">
        <v>21</v>
      </c>
      <c r="D47" s="62" t="s">
        <v>331</v>
      </c>
      <c r="E47" s="47" t="s">
        <v>332</v>
      </c>
      <c r="F47" s="47" t="s">
        <v>138</v>
      </c>
      <c r="G47" s="47" t="s">
        <v>333</v>
      </c>
      <c r="H47" s="47" t="s">
        <v>334</v>
      </c>
      <c r="I47" s="47" t="s">
        <v>340</v>
      </c>
      <c r="J47" s="47">
        <v>1</v>
      </c>
      <c r="K47" s="37">
        <f t="shared" si="1"/>
        <v>5</v>
      </c>
      <c r="L47" s="54"/>
    </row>
    <row r="48" spans="1:12" x14ac:dyDescent="0.25">
      <c r="A48" s="1"/>
      <c r="B48" s="45">
        <f t="shared" si="2"/>
        <v>39</v>
      </c>
      <c r="C48" s="49" t="s">
        <v>21</v>
      </c>
      <c r="D48" s="63" t="s">
        <v>287</v>
      </c>
      <c r="E48" s="47" t="s">
        <v>89</v>
      </c>
      <c r="F48" s="47" t="s">
        <v>138</v>
      </c>
      <c r="G48" s="47" t="s">
        <v>179</v>
      </c>
      <c r="H48" s="47" t="s">
        <v>205</v>
      </c>
      <c r="I48" s="47" t="s">
        <v>250</v>
      </c>
      <c r="J48" s="47">
        <v>4</v>
      </c>
      <c r="K48" s="37">
        <f t="shared" si="1"/>
        <v>20</v>
      </c>
      <c r="L48" s="54"/>
    </row>
    <row r="49" spans="1:12" x14ac:dyDescent="0.25">
      <c r="A49" s="1"/>
      <c r="B49" s="45">
        <f t="shared" si="2"/>
        <v>40</v>
      </c>
      <c r="C49" s="49" t="s">
        <v>21</v>
      </c>
      <c r="D49" s="62" t="s">
        <v>335</v>
      </c>
      <c r="E49" s="47" t="s">
        <v>92</v>
      </c>
      <c r="F49" s="47" t="s">
        <v>138</v>
      </c>
      <c r="G49" s="47" t="s">
        <v>182</v>
      </c>
      <c r="H49" s="47" t="s">
        <v>205</v>
      </c>
      <c r="I49" s="47" t="s">
        <v>253</v>
      </c>
      <c r="J49" s="47">
        <v>3</v>
      </c>
      <c r="K49" s="37">
        <f t="shared" si="1"/>
        <v>15</v>
      </c>
      <c r="L49" s="54"/>
    </row>
    <row r="50" spans="1:12" x14ac:dyDescent="0.25">
      <c r="A50" s="1"/>
      <c r="B50" s="44">
        <f t="shared" si="2"/>
        <v>41</v>
      </c>
      <c r="C50" s="49" t="s">
        <v>21</v>
      </c>
      <c r="D50" s="63" t="s">
        <v>336</v>
      </c>
      <c r="E50" s="37" t="s">
        <v>337</v>
      </c>
      <c r="F50" s="37" t="s">
        <v>138</v>
      </c>
      <c r="G50" s="37" t="s">
        <v>338</v>
      </c>
      <c r="H50" s="37" t="s">
        <v>205</v>
      </c>
      <c r="I50" s="37" t="s">
        <v>341</v>
      </c>
      <c r="J50" s="37">
        <v>1</v>
      </c>
      <c r="K50" s="37">
        <f t="shared" si="1"/>
        <v>5</v>
      </c>
      <c r="L50" s="54"/>
    </row>
    <row r="51" spans="1:12" ht="36" x14ac:dyDescent="0.25">
      <c r="A51" s="1"/>
      <c r="B51" s="44">
        <f t="shared" si="2"/>
        <v>42</v>
      </c>
      <c r="C51" s="48" t="s">
        <v>21</v>
      </c>
      <c r="D51" s="62" t="s">
        <v>288</v>
      </c>
      <c r="E51" s="37" t="s">
        <v>91</v>
      </c>
      <c r="F51" s="37" t="s">
        <v>139</v>
      </c>
      <c r="G51" s="37" t="s">
        <v>181</v>
      </c>
      <c r="H51" s="37" t="s">
        <v>226</v>
      </c>
      <c r="I51" s="37" t="s">
        <v>252</v>
      </c>
      <c r="J51" s="37">
        <v>1</v>
      </c>
      <c r="K51" s="37">
        <f t="shared" si="1"/>
        <v>5</v>
      </c>
      <c r="L51" s="54"/>
    </row>
    <row r="52" spans="1:12" x14ac:dyDescent="0.25">
      <c r="A52" s="1"/>
      <c r="B52" s="44">
        <f t="shared" si="2"/>
        <v>43</v>
      </c>
      <c r="C52" s="49" t="s">
        <v>21</v>
      </c>
      <c r="D52" s="63" t="s">
        <v>289</v>
      </c>
      <c r="E52" s="37" t="s">
        <v>94</v>
      </c>
      <c r="F52" s="37" t="s">
        <v>138</v>
      </c>
      <c r="G52" s="37" t="s">
        <v>184</v>
      </c>
      <c r="H52" s="37" t="s">
        <v>205</v>
      </c>
      <c r="I52" s="37" t="s">
        <v>255</v>
      </c>
      <c r="J52" s="37">
        <v>1</v>
      </c>
      <c r="K52" s="37">
        <f t="shared" si="1"/>
        <v>5</v>
      </c>
      <c r="L52" s="54"/>
    </row>
    <row r="53" spans="1:12" x14ac:dyDescent="0.25">
      <c r="A53" s="1"/>
      <c r="B53" s="45">
        <f t="shared" si="2"/>
        <v>44</v>
      </c>
      <c r="C53" s="49" t="s">
        <v>21</v>
      </c>
      <c r="D53" s="62" t="s">
        <v>290</v>
      </c>
      <c r="E53" s="47" t="s">
        <v>95</v>
      </c>
      <c r="F53" s="47" t="s">
        <v>138</v>
      </c>
      <c r="G53" s="47" t="s">
        <v>185</v>
      </c>
      <c r="H53" s="47" t="s">
        <v>205</v>
      </c>
      <c r="I53" s="47" t="s">
        <v>256</v>
      </c>
      <c r="J53" s="47">
        <v>1</v>
      </c>
      <c r="K53" s="37">
        <f t="shared" si="1"/>
        <v>5</v>
      </c>
      <c r="L53" s="54"/>
    </row>
    <row r="54" spans="1:12" x14ac:dyDescent="0.25">
      <c r="A54" s="1"/>
      <c r="B54" s="45">
        <f t="shared" si="2"/>
        <v>45</v>
      </c>
      <c r="C54" s="49" t="s">
        <v>21</v>
      </c>
      <c r="D54" s="63" t="s">
        <v>44</v>
      </c>
      <c r="E54" s="47" t="s">
        <v>97</v>
      </c>
      <c r="F54" s="47" t="s">
        <v>138</v>
      </c>
      <c r="G54" s="47" t="s">
        <v>187</v>
      </c>
      <c r="H54" s="47" t="s">
        <v>205</v>
      </c>
      <c r="I54" s="47" t="s">
        <v>258</v>
      </c>
      <c r="J54" s="47">
        <v>1</v>
      </c>
      <c r="K54" s="37">
        <f t="shared" si="1"/>
        <v>5</v>
      </c>
      <c r="L54" s="54"/>
    </row>
    <row r="55" spans="1:12" x14ac:dyDescent="0.25">
      <c r="A55" s="1"/>
      <c r="B55" s="44">
        <f t="shared" si="2"/>
        <v>46</v>
      </c>
      <c r="C55" s="48" t="s">
        <v>21</v>
      </c>
      <c r="D55" s="62" t="s">
        <v>45</v>
      </c>
      <c r="E55" s="37" t="s">
        <v>98</v>
      </c>
      <c r="F55" s="37" t="s">
        <v>138</v>
      </c>
      <c r="G55" s="37" t="s">
        <v>188</v>
      </c>
      <c r="H55" s="37" t="s">
        <v>205</v>
      </c>
      <c r="I55" s="37" t="s">
        <v>259</v>
      </c>
      <c r="J55" s="37">
        <v>1</v>
      </c>
      <c r="K55" s="37">
        <f t="shared" si="1"/>
        <v>5</v>
      </c>
      <c r="L55" s="54"/>
    </row>
    <row r="56" spans="1:12" x14ac:dyDescent="0.25">
      <c r="A56" s="1"/>
      <c r="B56" s="44">
        <f t="shared" si="2"/>
        <v>47</v>
      </c>
      <c r="C56" s="49" t="s">
        <v>21</v>
      </c>
      <c r="D56" s="63" t="s">
        <v>291</v>
      </c>
      <c r="E56" s="37" t="s">
        <v>96</v>
      </c>
      <c r="F56" s="37" t="s">
        <v>138</v>
      </c>
      <c r="G56" s="37" t="s">
        <v>186</v>
      </c>
      <c r="H56" s="37" t="s">
        <v>205</v>
      </c>
      <c r="I56" s="37" t="s">
        <v>257</v>
      </c>
      <c r="J56" s="37">
        <v>6</v>
      </c>
      <c r="K56" s="37">
        <f t="shared" si="1"/>
        <v>30</v>
      </c>
      <c r="L56" s="54"/>
    </row>
    <row r="57" spans="1:12" x14ac:dyDescent="0.25">
      <c r="A57" s="1"/>
      <c r="B57" s="45">
        <f t="shared" si="2"/>
        <v>48</v>
      </c>
      <c r="C57" s="48" t="s">
        <v>21</v>
      </c>
      <c r="D57" s="62" t="s">
        <v>292</v>
      </c>
      <c r="E57" s="47" t="s">
        <v>99</v>
      </c>
      <c r="F57" s="47" t="s">
        <v>138</v>
      </c>
      <c r="G57" s="47" t="s">
        <v>189</v>
      </c>
      <c r="H57" s="47" t="s">
        <v>205</v>
      </c>
      <c r="I57" s="47" t="s">
        <v>260</v>
      </c>
      <c r="J57" s="47">
        <v>1</v>
      </c>
      <c r="K57" s="37">
        <f t="shared" si="1"/>
        <v>5</v>
      </c>
      <c r="L57" s="54"/>
    </row>
    <row r="58" spans="1:12" x14ac:dyDescent="0.25">
      <c r="A58" s="1"/>
      <c r="B58" s="44">
        <f t="shared" si="2"/>
        <v>49</v>
      </c>
      <c r="C58" s="48" t="s">
        <v>21</v>
      </c>
      <c r="D58" s="63" t="s">
        <v>293</v>
      </c>
      <c r="E58" s="37" t="s">
        <v>100</v>
      </c>
      <c r="F58" s="37" t="s">
        <v>138</v>
      </c>
      <c r="G58" s="37" t="s">
        <v>190</v>
      </c>
      <c r="H58" s="37" t="s">
        <v>205</v>
      </c>
      <c r="I58" s="37" t="s">
        <v>261</v>
      </c>
      <c r="J58" s="37">
        <v>2</v>
      </c>
      <c r="K58" s="37">
        <f t="shared" si="1"/>
        <v>10</v>
      </c>
      <c r="L58" s="54"/>
    </row>
    <row r="59" spans="1:12" x14ac:dyDescent="0.25">
      <c r="A59" s="1"/>
      <c r="B59" s="45">
        <f t="shared" si="2"/>
        <v>50</v>
      </c>
      <c r="C59" s="49" t="s">
        <v>21</v>
      </c>
      <c r="D59" s="62" t="s">
        <v>294</v>
      </c>
      <c r="E59" s="47" t="s">
        <v>101</v>
      </c>
      <c r="F59" s="47" t="s">
        <v>138</v>
      </c>
      <c r="G59" s="47" t="s">
        <v>191</v>
      </c>
      <c r="H59" s="47" t="s">
        <v>205</v>
      </c>
      <c r="I59" s="47" t="s">
        <v>262</v>
      </c>
      <c r="J59" s="47">
        <v>1</v>
      </c>
      <c r="K59" s="37">
        <f t="shared" si="1"/>
        <v>5</v>
      </c>
      <c r="L59" s="54"/>
    </row>
    <row r="60" spans="1:12" x14ac:dyDescent="0.25">
      <c r="A60" s="1"/>
      <c r="B60" s="44">
        <f t="shared" si="2"/>
        <v>51</v>
      </c>
      <c r="C60" s="48" t="s">
        <v>21</v>
      </c>
      <c r="D60" s="63" t="s">
        <v>295</v>
      </c>
      <c r="E60" s="37" t="s">
        <v>102</v>
      </c>
      <c r="F60" s="37" t="s">
        <v>138</v>
      </c>
      <c r="G60" s="37" t="s">
        <v>192</v>
      </c>
      <c r="H60" s="37" t="s">
        <v>205</v>
      </c>
      <c r="I60" s="37" t="s">
        <v>263</v>
      </c>
      <c r="J60" s="37">
        <v>5</v>
      </c>
      <c r="K60" s="37">
        <f t="shared" si="1"/>
        <v>25</v>
      </c>
      <c r="L60" s="54"/>
    </row>
    <row r="61" spans="1:12" x14ac:dyDescent="0.25">
      <c r="A61" s="1"/>
      <c r="B61" s="45">
        <f t="shared" si="2"/>
        <v>52</v>
      </c>
      <c r="C61" s="49" t="s">
        <v>21</v>
      </c>
      <c r="D61" s="62" t="s">
        <v>296</v>
      </c>
      <c r="E61" s="47" t="s">
        <v>93</v>
      </c>
      <c r="F61" s="47" t="s">
        <v>138</v>
      </c>
      <c r="G61" s="47" t="s">
        <v>183</v>
      </c>
      <c r="H61" s="47" t="s">
        <v>205</v>
      </c>
      <c r="I61" s="47" t="s">
        <v>254</v>
      </c>
      <c r="J61" s="47">
        <v>5</v>
      </c>
      <c r="K61" s="37">
        <f t="shared" si="1"/>
        <v>25</v>
      </c>
      <c r="L61" s="54"/>
    </row>
    <row r="62" spans="1:12" x14ac:dyDescent="0.25">
      <c r="A62" s="1"/>
      <c r="B62" s="45">
        <f t="shared" si="2"/>
        <v>53</v>
      </c>
      <c r="C62" s="49" t="s">
        <v>21</v>
      </c>
      <c r="D62" s="63" t="s">
        <v>297</v>
      </c>
      <c r="E62" s="47" t="s">
        <v>103</v>
      </c>
      <c r="F62" s="47" t="s">
        <v>138</v>
      </c>
      <c r="G62" s="47" t="s">
        <v>193</v>
      </c>
      <c r="H62" s="47" t="s">
        <v>205</v>
      </c>
      <c r="I62" s="47" t="s">
        <v>264</v>
      </c>
      <c r="J62" s="47">
        <v>2</v>
      </c>
      <c r="K62" s="37">
        <f t="shared" si="1"/>
        <v>10</v>
      </c>
      <c r="L62" s="54"/>
    </row>
    <row r="63" spans="1:12" x14ac:dyDescent="0.25">
      <c r="A63" s="1"/>
      <c r="B63" s="44">
        <f>ROW(B63) - ROW($B$9)</f>
        <v>54</v>
      </c>
      <c r="C63" s="48" t="s">
        <v>21</v>
      </c>
      <c r="D63" s="62" t="s">
        <v>298</v>
      </c>
      <c r="E63" s="37" t="s">
        <v>104</v>
      </c>
      <c r="F63" s="37" t="s">
        <v>138</v>
      </c>
      <c r="G63" s="37" t="s">
        <v>194</v>
      </c>
      <c r="H63" s="37" t="s">
        <v>205</v>
      </c>
      <c r="I63" s="37" t="s">
        <v>265</v>
      </c>
      <c r="J63" s="37">
        <v>4</v>
      </c>
      <c r="K63" s="37">
        <f t="shared" si="1"/>
        <v>20</v>
      </c>
      <c r="L63" s="54"/>
    </row>
    <row r="64" spans="1:12" x14ac:dyDescent="0.25">
      <c r="A64" s="1"/>
      <c r="B64" s="45">
        <f t="shared" si="2"/>
        <v>55</v>
      </c>
      <c r="C64" s="49" t="s">
        <v>21</v>
      </c>
      <c r="D64" s="63" t="s">
        <v>299</v>
      </c>
      <c r="E64" s="47" t="s">
        <v>105</v>
      </c>
      <c r="F64" s="47" t="s">
        <v>138</v>
      </c>
      <c r="G64" s="47" t="s">
        <v>195</v>
      </c>
      <c r="H64" s="47" t="s">
        <v>205</v>
      </c>
      <c r="I64" s="47" t="s">
        <v>266</v>
      </c>
      <c r="J64" s="47">
        <v>1</v>
      </c>
      <c r="K64" s="37">
        <f t="shared" si="1"/>
        <v>5</v>
      </c>
      <c r="L64" s="54"/>
    </row>
    <row r="65" spans="1:12" ht="24" x14ac:dyDescent="0.25">
      <c r="A65" s="1"/>
      <c r="B65" s="45">
        <f t="shared" si="2"/>
        <v>56</v>
      </c>
      <c r="C65" s="49" t="s">
        <v>22</v>
      </c>
      <c r="D65" s="56" t="s">
        <v>300</v>
      </c>
      <c r="E65" s="56" t="s">
        <v>106</v>
      </c>
      <c r="F65" s="56" t="s">
        <v>269</v>
      </c>
      <c r="G65" s="56" t="s">
        <v>140</v>
      </c>
      <c r="H65" s="56" t="s">
        <v>270</v>
      </c>
      <c r="I65" s="57" t="s">
        <v>270</v>
      </c>
      <c r="J65" s="56">
        <v>10</v>
      </c>
      <c r="K65" s="37">
        <f t="shared" si="1"/>
        <v>50</v>
      </c>
      <c r="L65" s="54"/>
    </row>
    <row r="66" spans="1:12" ht="48" x14ac:dyDescent="0.25">
      <c r="A66" s="1"/>
      <c r="B66" s="44">
        <f>ROW(B66) - ROW($B$9)</f>
        <v>57</v>
      </c>
      <c r="C66" s="48" t="s">
        <v>23</v>
      </c>
      <c r="D66" s="37" t="s">
        <v>301</v>
      </c>
      <c r="E66" s="37" t="s">
        <v>108</v>
      </c>
      <c r="F66" s="47" t="s">
        <v>269</v>
      </c>
      <c r="G66" s="37" t="s">
        <v>142</v>
      </c>
      <c r="H66" s="37" t="s">
        <v>227</v>
      </c>
      <c r="I66" s="47" t="s">
        <v>270</v>
      </c>
      <c r="J66" s="37">
        <v>2</v>
      </c>
      <c r="K66" s="37">
        <f t="shared" si="1"/>
        <v>10</v>
      </c>
      <c r="L66" s="54"/>
    </row>
    <row r="67" spans="1:12" ht="60" x14ac:dyDescent="0.25">
      <c r="A67" s="1"/>
      <c r="B67" s="45">
        <f>ROW(B67) - ROW($B$9)</f>
        <v>58</v>
      </c>
      <c r="C67" s="48" t="s">
        <v>23</v>
      </c>
      <c r="D67" s="47" t="s">
        <v>302</v>
      </c>
      <c r="E67" s="47" t="s">
        <v>109</v>
      </c>
      <c r="F67" s="47" t="s">
        <v>269</v>
      </c>
      <c r="G67" s="47" t="s">
        <v>196</v>
      </c>
      <c r="H67" s="47" t="s">
        <v>228</v>
      </c>
      <c r="I67" s="47" t="s">
        <v>270</v>
      </c>
      <c r="J67" s="47">
        <v>1</v>
      </c>
      <c r="K67" s="37">
        <f t="shared" si="1"/>
        <v>5</v>
      </c>
      <c r="L67" s="54"/>
    </row>
    <row r="68" spans="1:12" ht="48" x14ac:dyDescent="0.25">
      <c r="A68" s="1"/>
      <c r="B68" s="44">
        <f>ROW(B68) - ROW($B$9)</f>
        <v>59</v>
      </c>
      <c r="C68" s="48" t="s">
        <v>23</v>
      </c>
      <c r="D68" s="37" t="s">
        <v>303</v>
      </c>
      <c r="E68" s="37" t="s">
        <v>110</v>
      </c>
      <c r="F68" s="47" t="s">
        <v>269</v>
      </c>
      <c r="G68" s="37" t="s">
        <v>197</v>
      </c>
      <c r="H68" s="37" t="s">
        <v>227</v>
      </c>
      <c r="I68" s="47" t="s">
        <v>270</v>
      </c>
      <c r="J68" s="37">
        <v>4</v>
      </c>
      <c r="K68" s="37">
        <f t="shared" si="1"/>
        <v>20</v>
      </c>
      <c r="L68" s="54"/>
    </row>
    <row r="69" spans="1:12" ht="48" x14ac:dyDescent="0.25">
      <c r="A69" s="1"/>
      <c r="B69" s="45">
        <f t="shared" si="2"/>
        <v>60</v>
      </c>
      <c r="C69" s="49" t="s">
        <v>23</v>
      </c>
      <c r="D69" s="47" t="s">
        <v>304</v>
      </c>
      <c r="E69" s="47" t="s">
        <v>107</v>
      </c>
      <c r="F69" s="47" t="s">
        <v>269</v>
      </c>
      <c r="G69" s="47" t="s">
        <v>141</v>
      </c>
      <c r="H69" s="47" t="s">
        <v>227</v>
      </c>
      <c r="I69" s="47" t="s">
        <v>270</v>
      </c>
      <c r="J69" s="47">
        <v>1</v>
      </c>
      <c r="K69" s="37">
        <f t="shared" si="1"/>
        <v>5</v>
      </c>
      <c r="L69" s="54"/>
    </row>
    <row r="70" spans="1:12" x14ac:dyDescent="0.25">
      <c r="A70" s="1"/>
      <c r="B70" s="44">
        <f t="shared" si="2"/>
        <v>61</v>
      </c>
      <c r="C70" s="48" t="s">
        <v>24</v>
      </c>
      <c r="D70" s="37" t="s">
        <v>46</v>
      </c>
      <c r="E70" s="37" t="s">
        <v>111</v>
      </c>
      <c r="F70" s="37" t="s">
        <v>144</v>
      </c>
      <c r="G70" s="37" t="s">
        <v>198</v>
      </c>
      <c r="H70" s="37" t="s">
        <v>230</v>
      </c>
      <c r="I70" s="47" t="s">
        <v>270</v>
      </c>
      <c r="J70" s="37">
        <v>1</v>
      </c>
      <c r="K70" s="37">
        <f t="shared" si="1"/>
        <v>5</v>
      </c>
      <c r="L70" s="54"/>
    </row>
    <row r="71" spans="1:12" ht="36" x14ac:dyDescent="0.25">
      <c r="A71" s="1"/>
      <c r="B71" s="44">
        <f t="shared" si="2"/>
        <v>62</v>
      </c>
      <c r="C71" s="48" t="s">
        <v>24</v>
      </c>
      <c r="D71" s="47" t="s">
        <v>47</v>
      </c>
      <c r="E71" s="37" t="s">
        <v>112</v>
      </c>
      <c r="F71" s="37" t="s">
        <v>145</v>
      </c>
      <c r="G71" s="37" t="s">
        <v>199</v>
      </c>
      <c r="H71" s="37" t="s">
        <v>232</v>
      </c>
      <c r="I71" s="47" t="s">
        <v>270</v>
      </c>
      <c r="J71" s="37">
        <v>1</v>
      </c>
      <c r="K71" s="37">
        <f t="shared" si="1"/>
        <v>5</v>
      </c>
      <c r="L71" s="54"/>
    </row>
    <row r="72" spans="1:12" ht="36" x14ac:dyDescent="0.25">
      <c r="A72" s="1"/>
      <c r="B72" s="44">
        <f t="shared" si="2"/>
        <v>63</v>
      </c>
      <c r="C72" s="48" t="s">
        <v>24</v>
      </c>
      <c r="D72" s="62" t="s">
        <v>48</v>
      </c>
      <c r="E72" s="37" t="s">
        <v>114</v>
      </c>
      <c r="F72" s="37" t="s">
        <v>147</v>
      </c>
      <c r="G72" s="37" t="s">
        <v>236</v>
      </c>
      <c r="H72" s="37" t="s">
        <v>233</v>
      </c>
      <c r="I72" s="47" t="s">
        <v>270</v>
      </c>
      <c r="J72" s="37">
        <v>1</v>
      </c>
      <c r="K72" s="37">
        <f t="shared" si="1"/>
        <v>5</v>
      </c>
      <c r="L72" s="54"/>
    </row>
    <row r="73" spans="1:12" x14ac:dyDescent="0.25">
      <c r="A73" s="1"/>
      <c r="B73" s="45">
        <f t="shared" si="2"/>
        <v>64</v>
      </c>
      <c r="C73" s="49" t="s">
        <v>25</v>
      </c>
      <c r="D73" s="63" t="s">
        <v>49</v>
      </c>
      <c r="E73" s="47" t="s">
        <v>115</v>
      </c>
      <c r="F73" s="47" t="s">
        <v>148</v>
      </c>
      <c r="G73" s="47" t="s">
        <v>201</v>
      </c>
      <c r="H73" s="47" t="s">
        <v>234</v>
      </c>
      <c r="I73" s="47" t="s">
        <v>270</v>
      </c>
      <c r="J73" s="47">
        <v>1</v>
      </c>
      <c r="K73" s="37">
        <f t="shared" si="1"/>
        <v>5</v>
      </c>
      <c r="L73" s="54"/>
    </row>
    <row r="74" spans="1:12" ht="24" x14ac:dyDescent="0.25">
      <c r="A74" s="1"/>
      <c r="B74" s="44">
        <f t="shared" si="2"/>
        <v>65</v>
      </c>
      <c r="C74" s="48" t="s">
        <v>24</v>
      </c>
      <c r="D74" s="63" t="s">
        <v>50</v>
      </c>
      <c r="E74" s="37" t="s">
        <v>116</v>
      </c>
      <c r="F74" s="37" t="s">
        <v>149</v>
      </c>
      <c r="G74" s="37" t="s">
        <v>202</v>
      </c>
      <c r="H74" s="37" t="s">
        <v>235</v>
      </c>
      <c r="I74" s="47" t="s">
        <v>270</v>
      </c>
      <c r="J74" s="37">
        <v>1</v>
      </c>
      <c r="K74" s="37">
        <f t="shared" si="1"/>
        <v>5</v>
      </c>
      <c r="L74" s="54"/>
    </row>
    <row r="75" spans="1:12" x14ac:dyDescent="0.25">
      <c r="A75" s="1"/>
      <c r="B75" s="45">
        <f t="shared" si="2"/>
        <v>66</v>
      </c>
      <c r="C75" s="49" t="s">
        <v>24</v>
      </c>
      <c r="D75" s="63" t="s">
        <v>51</v>
      </c>
      <c r="E75" s="47" t="s">
        <v>117</v>
      </c>
      <c r="F75" s="47" t="s">
        <v>150</v>
      </c>
      <c r="G75" s="47" t="s">
        <v>203</v>
      </c>
      <c r="H75" s="47" t="s">
        <v>212</v>
      </c>
      <c r="I75" s="47" t="s">
        <v>270</v>
      </c>
      <c r="J75" s="47">
        <v>1</v>
      </c>
      <c r="K75" s="37">
        <f t="shared" ref="K75:K80" si="3">J75*5</f>
        <v>5</v>
      </c>
      <c r="L75" s="54"/>
    </row>
    <row r="76" spans="1:12" x14ac:dyDescent="0.25">
      <c r="A76" s="1"/>
      <c r="B76" s="45">
        <f t="shared" si="2"/>
        <v>67</v>
      </c>
      <c r="C76" s="48" t="s">
        <v>24</v>
      </c>
      <c r="D76" s="55" t="s">
        <v>52</v>
      </c>
      <c r="E76" s="55" t="s">
        <v>305</v>
      </c>
      <c r="F76" s="55" t="s">
        <v>143</v>
      </c>
      <c r="G76" s="55" t="s">
        <v>306</v>
      </c>
      <c r="H76" s="55" t="s">
        <v>229</v>
      </c>
      <c r="I76" s="55" t="s">
        <v>270</v>
      </c>
      <c r="J76" s="55">
        <v>1</v>
      </c>
      <c r="K76" s="55">
        <f t="shared" si="3"/>
        <v>5</v>
      </c>
      <c r="L76" s="54"/>
    </row>
    <row r="77" spans="1:12" ht="24" x14ac:dyDescent="0.25">
      <c r="A77" s="1"/>
      <c r="B77" s="45">
        <f t="shared" si="2"/>
        <v>68</v>
      </c>
      <c r="C77" s="49" t="s">
        <v>24</v>
      </c>
      <c r="D77" s="47" t="s">
        <v>53</v>
      </c>
      <c r="E77" s="47" t="s">
        <v>307</v>
      </c>
      <c r="F77" s="47" t="s">
        <v>146</v>
      </c>
      <c r="G77" s="47" t="s">
        <v>308</v>
      </c>
      <c r="H77" s="47" t="s">
        <v>309</v>
      </c>
      <c r="I77" s="47" t="s">
        <v>270</v>
      </c>
      <c r="J77" s="47">
        <v>1</v>
      </c>
      <c r="K77" s="37">
        <f t="shared" si="3"/>
        <v>5</v>
      </c>
      <c r="L77" s="54"/>
    </row>
    <row r="78" spans="1:12" x14ac:dyDescent="0.25">
      <c r="A78" s="1"/>
      <c r="B78" s="45">
        <f t="shared" si="2"/>
        <v>69</v>
      </c>
      <c r="C78" s="49" t="s">
        <v>24</v>
      </c>
      <c r="D78" s="37" t="s">
        <v>54</v>
      </c>
      <c r="E78" s="47" t="s">
        <v>113</v>
      </c>
      <c r="F78" s="47" t="s">
        <v>146</v>
      </c>
      <c r="G78" s="47" t="s">
        <v>200</v>
      </c>
      <c r="H78" s="47" t="s">
        <v>231</v>
      </c>
      <c r="I78" s="47" t="s">
        <v>270</v>
      </c>
      <c r="J78" s="47">
        <v>1</v>
      </c>
      <c r="K78" s="69">
        <f t="shared" si="3"/>
        <v>5</v>
      </c>
      <c r="L78" s="70"/>
    </row>
    <row r="79" spans="1:12" ht="48" x14ac:dyDescent="0.25">
      <c r="A79" s="1"/>
      <c r="B79" s="45">
        <f t="shared" si="2"/>
        <v>70</v>
      </c>
      <c r="C79" s="49" t="s">
        <v>310</v>
      </c>
      <c r="D79" s="37" t="s">
        <v>311</v>
      </c>
      <c r="E79" s="47" t="s">
        <v>312</v>
      </c>
      <c r="F79" s="47" t="s">
        <v>270</v>
      </c>
      <c r="G79" s="47" t="s">
        <v>270</v>
      </c>
      <c r="H79" s="47" t="s">
        <v>270</v>
      </c>
      <c r="I79" s="47" t="s">
        <v>270</v>
      </c>
      <c r="J79" s="47">
        <v>1</v>
      </c>
      <c r="K79" s="69">
        <f t="shared" si="3"/>
        <v>5</v>
      </c>
      <c r="L79" s="71"/>
    </row>
    <row r="80" spans="1:12" ht="36" x14ac:dyDescent="0.25">
      <c r="A80" s="1"/>
      <c r="B80" s="45">
        <f t="shared" si="2"/>
        <v>71</v>
      </c>
      <c r="C80" s="49" t="s">
        <v>313</v>
      </c>
      <c r="D80" s="37" t="s">
        <v>311</v>
      </c>
      <c r="E80" s="47" t="s">
        <v>314</v>
      </c>
      <c r="F80" s="47" t="s">
        <v>270</v>
      </c>
      <c r="G80" s="47" t="s">
        <v>270</v>
      </c>
      <c r="H80" s="47" t="s">
        <v>270</v>
      </c>
      <c r="I80" s="47" t="s">
        <v>270</v>
      </c>
      <c r="J80" s="47">
        <v>1</v>
      </c>
      <c r="K80" s="69">
        <f t="shared" si="3"/>
        <v>5</v>
      </c>
      <c r="L80" s="72"/>
    </row>
    <row r="81" spans="2:12" x14ac:dyDescent="0.25">
      <c r="B81" s="38"/>
      <c r="C81" s="39"/>
      <c r="D81" s="40"/>
      <c r="E81" s="41"/>
      <c r="F81" s="42"/>
      <c r="G81" s="43"/>
      <c r="H81" s="42"/>
      <c r="I81" s="43"/>
      <c r="J81" s="43"/>
      <c r="K81" s="43"/>
      <c r="L81" s="43"/>
    </row>
    <row r="82" spans="2:12" ht="15.75" thickBot="1" x14ac:dyDescent="0.3">
      <c r="B82" s="25"/>
      <c r="C82" s="36"/>
      <c r="D82" s="9"/>
      <c r="E82" s="10"/>
      <c r="F82" s="10"/>
      <c r="G82" s="10"/>
      <c r="H82" s="10"/>
      <c r="I82" s="10"/>
      <c r="J82" s="10"/>
      <c r="K82" s="10"/>
      <c r="L82" s="10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topLeftCell="A3" workbookViewId="0">
      <selection activeCell="O79" sqref="O79"/>
    </sheetView>
  </sheetViews>
  <sheetFormatPr defaultRowHeight="15" x14ac:dyDescent="0.25"/>
  <cols>
    <col min="2" max="2" width="3" bestFit="1" customWidth="1"/>
    <col min="3" max="3" width="14.140625" customWidth="1"/>
    <col min="4" max="4" width="15.7109375" customWidth="1"/>
    <col min="5" max="5" width="32.42578125" customWidth="1"/>
    <col min="6" max="6" width="14.28515625" customWidth="1"/>
    <col min="7" max="7" width="25.28515625" bestFit="1" customWidth="1"/>
    <col min="8" max="8" width="13.28515625" bestFit="1" customWidth="1"/>
    <col min="9" max="9" width="6.140625" bestFit="1" customWidth="1"/>
    <col min="10" max="10" width="18" bestFit="1" customWidth="1"/>
    <col min="11" max="11" width="18.28515625" bestFit="1" customWidth="1"/>
    <col min="12" max="12" width="26.42578125" customWidth="1"/>
  </cols>
  <sheetData>
    <row r="1" spans="1:12" ht="15.75" thickBot="1" x14ac:dyDescent="0.3">
      <c r="A1" s="1"/>
      <c r="B1" s="20"/>
      <c r="C1" s="20"/>
      <c r="D1" s="2"/>
      <c r="E1" s="2"/>
      <c r="F1" s="2"/>
      <c r="G1" s="2"/>
      <c r="H1" s="2"/>
      <c r="I1" s="64"/>
      <c r="J1" s="64"/>
      <c r="K1" s="64"/>
      <c r="L1" s="65"/>
    </row>
    <row r="2" spans="1:12" ht="32.25" thickBot="1" x14ac:dyDescent="0.3">
      <c r="A2" s="1"/>
      <c r="B2" s="21"/>
      <c r="C2" s="31"/>
      <c r="D2" s="11" t="s">
        <v>0</v>
      </c>
      <c r="E2" s="11"/>
      <c r="F2" s="51" t="s">
        <v>267</v>
      </c>
      <c r="G2" s="12"/>
      <c r="H2" s="4"/>
      <c r="I2" s="4"/>
      <c r="J2" s="4"/>
      <c r="K2" s="4"/>
      <c r="L2" s="3"/>
    </row>
    <row r="3" spans="1:12" x14ac:dyDescent="0.25">
      <c r="A3" s="1"/>
      <c r="B3" s="22"/>
      <c r="C3" s="32"/>
      <c r="D3" s="13" t="s">
        <v>1</v>
      </c>
      <c r="E3" s="13"/>
      <c r="F3" s="52" t="s">
        <v>268</v>
      </c>
      <c r="G3" s="13"/>
      <c r="H3" s="5"/>
      <c r="I3" s="5"/>
      <c r="J3" s="5"/>
      <c r="K3" s="5"/>
      <c r="L3" s="66"/>
    </row>
    <row r="4" spans="1:12" x14ac:dyDescent="0.25">
      <c r="A4" s="1"/>
      <c r="B4" s="22"/>
      <c r="C4" s="32"/>
      <c r="D4" s="13" t="s">
        <v>2</v>
      </c>
      <c r="E4" s="13"/>
      <c r="F4" s="52" t="s">
        <v>268</v>
      </c>
      <c r="G4" s="14"/>
      <c r="H4" s="7"/>
      <c r="I4" s="7"/>
      <c r="J4" s="6"/>
      <c r="K4" s="6"/>
      <c r="L4" s="67"/>
    </row>
    <row r="5" spans="1:12" x14ac:dyDescent="0.25">
      <c r="A5" s="1"/>
      <c r="B5" s="22"/>
      <c r="C5" s="32"/>
      <c r="D5" s="13" t="s">
        <v>3</v>
      </c>
      <c r="E5" s="13"/>
      <c r="F5" s="53" t="s">
        <v>5</v>
      </c>
      <c r="G5" s="15"/>
      <c r="H5" s="6"/>
      <c r="I5" s="6"/>
      <c r="J5" s="6"/>
      <c r="K5" s="6"/>
      <c r="L5" s="67"/>
    </row>
    <row r="6" spans="1:12" x14ac:dyDescent="0.25">
      <c r="A6" s="1"/>
      <c r="B6" s="23"/>
      <c r="C6" s="33"/>
      <c r="D6" s="16"/>
      <c r="E6" s="16"/>
      <c r="F6" s="17"/>
      <c r="G6" s="15"/>
      <c r="H6" s="6"/>
      <c r="I6" s="6"/>
      <c r="J6" s="6"/>
      <c r="K6" s="6"/>
      <c r="L6" s="67"/>
    </row>
    <row r="7" spans="1:12" x14ac:dyDescent="0.25">
      <c r="A7" s="1"/>
      <c r="B7" s="24"/>
      <c r="C7" s="34"/>
      <c r="D7" s="18"/>
      <c r="E7" s="18"/>
      <c r="F7" s="19"/>
      <c r="G7" s="18"/>
      <c r="H7" s="8"/>
      <c r="I7" s="8"/>
      <c r="J7" s="8"/>
      <c r="K7" s="8"/>
      <c r="L7" s="67"/>
    </row>
    <row r="8" spans="1:12" ht="15.75" thickBot="1" x14ac:dyDescent="0.3">
      <c r="A8" s="1"/>
      <c r="B8" s="27"/>
      <c r="C8" s="35"/>
      <c r="D8" s="28"/>
      <c r="E8" s="28"/>
      <c r="F8" s="29"/>
      <c r="G8" s="18"/>
      <c r="H8" s="8"/>
      <c r="I8" s="8"/>
      <c r="J8" s="8"/>
      <c r="K8" s="8"/>
      <c r="L8" s="67"/>
    </row>
    <row r="9" spans="1:12" ht="15.75" thickBot="1" x14ac:dyDescent="0.3">
      <c r="A9" s="1"/>
      <c r="B9" s="30" t="s">
        <v>4</v>
      </c>
      <c r="C9" s="30" t="s">
        <v>6</v>
      </c>
      <c r="D9" s="30" t="s">
        <v>26</v>
      </c>
      <c r="E9" s="30" t="s">
        <v>55</v>
      </c>
      <c r="F9" s="30" t="s">
        <v>118</v>
      </c>
      <c r="G9" s="30" t="s">
        <v>151</v>
      </c>
      <c r="H9" s="30" t="s">
        <v>204</v>
      </c>
      <c r="I9" s="30" t="s">
        <v>271</v>
      </c>
      <c r="J9" s="30" t="s">
        <v>339</v>
      </c>
      <c r="K9" s="30" t="s">
        <v>274</v>
      </c>
      <c r="L9" s="30" t="s">
        <v>273</v>
      </c>
    </row>
    <row r="10" spans="1:12" s="60" customFormat="1" ht="24" x14ac:dyDescent="0.25">
      <c r="A10" s="58"/>
      <c r="B10" s="45">
        <f t="shared" ref="B10:B21" si="0">ROW(B10) - ROW($B$9)</f>
        <v>1</v>
      </c>
      <c r="C10" s="48" t="s">
        <v>7</v>
      </c>
      <c r="D10" s="62" t="s">
        <v>316</v>
      </c>
      <c r="E10" s="47" t="s">
        <v>60</v>
      </c>
      <c r="F10" s="47" t="s">
        <v>121</v>
      </c>
      <c r="G10" s="47" t="s">
        <v>155</v>
      </c>
      <c r="H10" s="47" t="s">
        <v>205</v>
      </c>
      <c r="I10" s="47" t="s">
        <v>242</v>
      </c>
      <c r="J10" s="37">
        <v>7</v>
      </c>
      <c r="K10" s="37">
        <f t="shared" ref="K10:K71" si="1">J10*2</f>
        <v>14</v>
      </c>
      <c r="L10" s="59"/>
    </row>
    <row r="11" spans="1:12" s="60" customFormat="1" ht="36" x14ac:dyDescent="0.25">
      <c r="A11" s="58"/>
      <c r="B11" s="44">
        <f t="shared" si="0"/>
        <v>2</v>
      </c>
      <c r="C11" s="48" t="s">
        <v>7</v>
      </c>
      <c r="D11" s="63" t="s">
        <v>317</v>
      </c>
      <c r="E11" s="37" t="s">
        <v>318</v>
      </c>
      <c r="F11" s="37" t="s">
        <v>119</v>
      </c>
      <c r="G11" s="37" t="s">
        <v>319</v>
      </c>
      <c r="H11" s="37" t="s">
        <v>205</v>
      </c>
      <c r="I11" s="37" t="s">
        <v>241</v>
      </c>
      <c r="J11" s="47">
        <v>10</v>
      </c>
      <c r="K11" s="37">
        <f t="shared" si="1"/>
        <v>20</v>
      </c>
      <c r="L11" s="47"/>
    </row>
    <row r="12" spans="1:12" s="60" customFormat="1" x14ac:dyDescent="0.25">
      <c r="A12" s="58"/>
      <c r="B12" s="44">
        <f t="shared" si="0"/>
        <v>3</v>
      </c>
      <c r="C12" s="48" t="s">
        <v>7</v>
      </c>
      <c r="D12" s="62" t="s">
        <v>275</v>
      </c>
      <c r="E12" s="37" t="s">
        <v>58</v>
      </c>
      <c r="F12" s="37" t="s">
        <v>269</v>
      </c>
      <c r="G12" s="37" t="s">
        <v>120</v>
      </c>
      <c r="H12" s="37" t="s">
        <v>206</v>
      </c>
      <c r="I12" s="37" t="s">
        <v>239</v>
      </c>
      <c r="J12" s="37">
        <v>2</v>
      </c>
      <c r="K12" s="37">
        <f t="shared" si="1"/>
        <v>4</v>
      </c>
      <c r="L12" s="54"/>
    </row>
    <row r="13" spans="1:12" s="60" customFormat="1" ht="60" x14ac:dyDescent="0.25">
      <c r="A13" s="58"/>
      <c r="B13" s="45">
        <f t="shared" si="0"/>
        <v>4</v>
      </c>
      <c r="C13" s="49" t="s">
        <v>7</v>
      </c>
      <c r="D13" s="63" t="s">
        <v>320</v>
      </c>
      <c r="E13" s="47" t="s">
        <v>61</v>
      </c>
      <c r="F13" s="47" t="s">
        <v>122</v>
      </c>
      <c r="G13" s="47" t="s">
        <v>156</v>
      </c>
      <c r="H13" s="47" t="s">
        <v>205</v>
      </c>
      <c r="I13" s="47" t="s">
        <v>241</v>
      </c>
      <c r="J13" s="47">
        <v>18</v>
      </c>
      <c r="K13" s="37">
        <f t="shared" si="1"/>
        <v>36</v>
      </c>
      <c r="L13" s="54"/>
    </row>
    <row r="14" spans="1:12" s="60" customFormat="1" x14ac:dyDescent="0.25">
      <c r="A14" s="58"/>
      <c r="B14" s="44">
        <f t="shared" si="0"/>
        <v>5</v>
      </c>
      <c r="C14" s="48" t="s">
        <v>7</v>
      </c>
      <c r="D14" s="62" t="s">
        <v>276</v>
      </c>
      <c r="E14" s="37" t="s">
        <v>62</v>
      </c>
      <c r="F14" s="37" t="s">
        <v>269</v>
      </c>
      <c r="G14" s="37" t="s">
        <v>123</v>
      </c>
      <c r="H14" s="37" t="s">
        <v>206</v>
      </c>
      <c r="I14" s="37" t="s">
        <v>243</v>
      </c>
      <c r="J14" s="37">
        <v>2</v>
      </c>
      <c r="K14" s="37">
        <f t="shared" si="1"/>
        <v>4</v>
      </c>
      <c r="L14" s="54"/>
    </row>
    <row r="15" spans="1:12" s="60" customFormat="1" ht="72" x14ac:dyDescent="0.25">
      <c r="A15" s="58"/>
      <c r="B15" s="45">
        <f t="shared" si="0"/>
        <v>6</v>
      </c>
      <c r="C15" s="48" t="s">
        <v>7</v>
      </c>
      <c r="D15" s="63" t="s">
        <v>277</v>
      </c>
      <c r="E15" s="47" t="s">
        <v>59</v>
      </c>
      <c r="F15" s="47" t="s">
        <v>119</v>
      </c>
      <c r="G15" s="47" t="s">
        <v>154</v>
      </c>
      <c r="H15" s="47" t="s">
        <v>205</v>
      </c>
      <c r="I15" s="47" t="s">
        <v>240</v>
      </c>
      <c r="J15" s="47">
        <v>22</v>
      </c>
      <c r="K15" s="37">
        <f t="shared" si="1"/>
        <v>44</v>
      </c>
      <c r="L15" s="54"/>
    </row>
    <row r="16" spans="1:12" s="60" customFormat="1" x14ac:dyDescent="0.25">
      <c r="A16" s="58"/>
      <c r="B16" s="45">
        <f t="shared" si="0"/>
        <v>7</v>
      </c>
      <c r="C16" s="48" t="s">
        <v>7</v>
      </c>
      <c r="D16" s="62" t="s">
        <v>278</v>
      </c>
      <c r="E16" s="47" t="s">
        <v>63</v>
      </c>
      <c r="F16" s="47" t="s">
        <v>124</v>
      </c>
      <c r="G16" s="47" t="s">
        <v>157</v>
      </c>
      <c r="H16" s="47" t="s">
        <v>207</v>
      </c>
      <c r="I16" s="47" t="s">
        <v>243</v>
      </c>
      <c r="J16" s="37">
        <v>1</v>
      </c>
      <c r="K16" s="37">
        <f t="shared" si="1"/>
        <v>2</v>
      </c>
      <c r="L16" s="54"/>
    </row>
    <row r="17" spans="1:12" s="60" customFormat="1" ht="24" x14ac:dyDescent="0.25">
      <c r="A17" s="58"/>
      <c r="B17" s="45">
        <f t="shared" si="0"/>
        <v>8</v>
      </c>
      <c r="C17" s="48" t="s">
        <v>7</v>
      </c>
      <c r="D17" s="63" t="s">
        <v>279</v>
      </c>
      <c r="E17" s="47" t="s">
        <v>64</v>
      </c>
      <c r="F17" s="47" t="s">
        <v>119</v>
      </c>
      <c r="G17" s="47" t="s">
        <v>158</v>
      </c>
      <c r="H17" s="47" t="s">
        <v>205</v>
      </c>
      <c r="I17" s="47" t="s">
        <v>244</v>
      </c>
      <c r="J17" s="47">
        <v>6</v>
      </c>
      <c r="K17" s="37">
        <f t="shared" si="1"/>
        <v>12</v>
      </c>
      <c r="L17" s="54"/>
    </row>
    <row r="18" spans="1:12" s="60" customFormat="1" x14ac:dyDescent="0.25">
      <c r="A18" s="58"/>
      <c r="B18" s="44">
        <f t="shared" si="0"/>
        <v>9</v>
      </c>
      <c r="C18" s="48" t="s">
        <v>7</v>
      </c>
      <c r="D18" s="62" t="s">
        <v>280</v>
      </c>
      <c r="E18" s="37" t="s">
        <v>65</v>
      </c>
      <c r="F18" s="37" t="s">
        <v>122</v>
      </c>
      <c r="G18" s="55" t="s">
        <v>321</v>
      </c>
      <c r="H18" s="37" t="s">
        <v>208</v>
      </c>
      <c r="I18" s="37" t="s">
        <v>245</v>
      </c>
      <c r="J18" s="37">
        <v>3</v>
      </c>
      <c r="K18" s="37">
        <f t="shared" si="1"/>
        <v>6</v>
      </c>
      <c r="L18" s="54"/>
    </row>
    <row r="19" spans="1:12" s="60" customFormat="1" x14ac:dyDescent="0.25">
      <c r="A19" s="58"/>
      <c r="B19" s="45">
        <f t="shared" si="0"/>
        <v>10</v>
      </c>
      <c r="C19" s="48" t="s">
        <v>7</v>
      </c>
      <c r="D19" s="63" t="s">
        <v>322</v>
      </c>
      <c r="E19" s="47" t="s">
        <v>323</v>
      </c>
      <c r="F19" s="47" t="s">
        <v>119</v>
      </c>
      <c r="G19" s="47" t="s">
        <v>324</v>
      </c>
      <c r="H19" s="47" t="s">
        <v>205</v>
      </c>
      <c r="I19" s="47" t="s">
        <v>242</v>
      </c>
      <c r="J19" s="47">
        <v>1</v>
      </c>
      <c r="K19" s="37">
        <f t="shared" si="1"/>
        <v>2</v>
      </c>
      <c r="L19" s="54"/>
    </row>
    <row r="20" spans="1:12" s="60" customFormat="1" x14ac:dyDescent="0.25">
      <c r="A20" s="58"/>
      <c r="B20" s="44">
        <f t="shared" si="0"/>
        <v>11</v>
      </c>
      <c r="C20" s="48" t="s">
        <v>7</v>
      </c>
      <c r="D20" s="62" t="s">
        <v>281</v>
      </c>
      <c r="E20" s="37" t="s">
        <v>56</v>
      </c>
      <c r="F20" s="37" t="s">
        <v>119</v>
      </c>
      <c r="G20" s="37" t="s">
        <v>152</v>
      </c>
      <c r="H20" s="37" t="s">
        <v>205</v>
      </c>
      <c r="I20" s="37" t="s">
        <v>237</v>
      </c>
      <c r="J20" s="37">
        <v>3</v>
      </c>
      <c r="K20" s="37">
        <f t="shared" si="1"/>
        <v>6</v>
      </c>
      <c r="L20" s="54"/>
    </row>
    <row r="21" spans="1:12" s="60" customFormat="1" x14ac:dyDescent="0.25">
      <c r="A21" s="58"/>
      <c r="B21" s="44">
        <f t="shared" si="0"/>
        <v>12</v>
      </c>
      <c r="C21" s="48" t="s">
        <v>7</v>
      </c>
      <c r="D21" s="63" t="s">
        <v>282</v>
      </c>
      <c r="E21" s="37" t="s">
        <v>66</v>
      </c>
      <c r="F21" s="37" t="s">
        <v>119</v>
      </c>
      <c r="G21" s="37" t="s">
        <v>159</v>
      </c>
      <c r="H21" s="37" t="s">
        <v>205</v>
      </c>
      <c r="I21" s="37" t="s">
        <v>246</v>
      </c>
      <c r="J21" s="47">
        <v>4</v>
      </c>
      <c r="K21" s="37">
        <f t="shared" si="1"/>
        <v>8</v>
      </c>
      <c r="L21" s="54"/>
    </row>
    <row r="22" spans="1:12" s="60" customFormat="1" x14ac:dyDescent="0.25">
      <c r="A22" s="58"/>
      <c r="B22" s="44"/>
      <c r="C22" s="48"/>
      <c r="D22" s="62" t="s">
        <v>283</v>
      </c>
      <c r="E22" s="37" t="s">
        <v>284</v>
      </c>
      <c r="F22" s="37" t="s">
        <v>119</v>
      </c>
      <c r="G22" s="37" t="s">
        <v>285</v>
      </c>
      <c r="H22" s="37" t="s">
        <v>205</v>
      </c>
      <c r="I22" s="37" t="s">
        <v>315</v>
      </c>
      <c r="J22" s="37">
        <v>1</v>
      </c>
      <c r="K22" s="37">
        <f t="shared" si="1"/>
        <v>2</v>
      </c>
      <c r="L22" s="54"/>
    </row>
    <row r="23" spans="1:12" s="60" customFormat="1" x14ac:dyDescent="0.25">
      <c r="A23" s="58"/>
      <c r="B23" s="45">
        <f t="shared" ref="B23:B79" si="2">ROW(B23) - ROW($B$9)</f>
        <v>14</v>
      </c>
      <c r="C23" s="48" t="s">
        <v>7</v>
      </c>
      <c r="D23" s="63" t="s">
        <v>286</v>
      </c>
      <c r="E23" s="47" t="s">
        <v>57</v>
      </c>
      <c r="F23" s="47" t="s">
        <v>119</v>
      </c>
      <c r="G23" s="47" t="s">
        <v>153</v>
      </c>
      <c r="H23" s="47" t="s">
        <v>205</v>
      </c>
      <c r="I23" s="47" t="s">
        <v>238</v>
      </c>
      <c r="J23" s="47">
        <v>1</v>
      </c>
      <c r="K23" s="37">
        <f t="shared" si="1"/>
        <v>2</v>
      </c>
      <c r="L23" s="54"/>
    </row>
    <row r="24" spans="1:12" s="60" customFormat="1" ht="36" x14ac:dyDescent="0.25">
      <c r="A24" s="58"/>
      <c r="B24" s="45">
        <f t="shared" si="2"/>
        <v>15</v>
      </c>
      <c r="C24" s="48" t="s">
        <v>9</v>
      </c>
      <c r="D24" s="63" t="s">
        <v>27</v>
      </c>
      <c r="E24" s="47" t="s">
        <v>67</v>
      </c>
      <c r="F24" s="47" t="s">
        <v>125</v>
      </c>
      <c r="G24" s="47" t="s">
        <v>160</v>
      </c>
      <c r="H24" s="47" t="s">
        <v>209</v>
      </c>
      <c r="I24" s="47" t="s">
        <v>270</v>
      </c>
      <c r="J24" s="47">
        <v>2</v>
      </c>
      <c r="K24" s="37">
        <f t="shared" si="1"/>
        <v>4</v>
      </c>
      <c r="L24" s="54"/>
    </row>
    <row r="25" spans="1:12" s="60" customFormat="1" x14ac:dyDescent="0.25">
      <c r="A25" s="58"/>
      <c r="B25" s="44">
        <f>ROW(B25) - ROW($B$9)</f>
        <v>16</v>
      </c>
      <c r="C25" s="48" t="s">
        <v>8</v>
      </c>
      <c r="D25" s="62" t="s">
        <v>28</v>
      </c>
      <c r="E25" s="37" t="s">
        <v>68</v>
      </c>
      <c r="F25" s="37" t="s">
        <v>126</v>
      </c>
      <c r="G25" s="37" t="s">
        <v>161</v>
      </c>
      <c r="H25" s="37" t="s">
        <v>210</v>
      </c>
      <c r="I25" s="47" t="s">
        <v>270</v>
      </c>
      <c r="J25" s="37">
        <v>1</v>
      </c>
      <c r="K25" s="37">
        <f t="shared" si="1"/>
        <v>2</v>
      </c>
      <c r="L25" s="54"/>
    </row>
    <row r="26" spans="1:12" s="60" customFormat="1" ht="36" x14ac:dyDescent="0.25">
      <c r="A26" s="58"/>
      <c r="B26" s="45">
        <f t="shared" si="2"/>
        <v>17</v>
      </c>
      <c r="C26" s="49" t="s">
        <v>9</v>
      </c>
      <c r="D26" s="63" t="s">
        <v>325</v>
      </c>
      <c r="E26" s="47" t="s">
        <v>69</v>
      </c>
      <c r="F26" s="47" t="s">
        <v>127</v>
      </c>
      <c r="G26" s="47" t="s">
        <v>162</v>
      </c>
      <c r="H26" s="47" t="s">
        <v>211</v>
      </c>
      <c r="I26" s="47" t="s">
        <v>270</v>
      </c>
      <c r="J26" s="47">
        <v>2</v>
      </c>
      <c r="K26" s="37">
        <f t="shared" si="1"/>
        <v>4</v>
      </c>
      <c r="L26" s="54"/>
    </row>
    <row r="27" spans="1:12" s="60" customFormat="1" x14ac:dyDescent="0.25">
      <c r="A27" s="58"/>
      <c r="B27" s="44">
        <f>ROW(B27) - ROW($B$9)</f>
        <v>18</v>
      </c>
      <c r="C27" s="48" t="s">
        <v>9</v>
      </c>
      <c r="D27" s="62" t="s">
        <v>29</v>
      </c>
      <c r="E27" s="37" t="s">
        <v>70</v>
      </c>
      <c r="F27" s="37" t="s">
        <v>126</v>
      </c>
      <c r="G27" s="37" t="s">
        <v>163</v>
      </c>
      <c r="H27" s="37" t="s">
        <v>212</v>
      </c>
      <c r="I27" s="47" t="s">
        <v>270</v>
      </c>
      <c r="J27" s="37">
        <v>2</v>
      </c>
      <c r="K27" s="37">
        <f t="shared" si="1"/>
        <v>4</v>
      </c>
      <c r="L27" s="54"/>
    </row>
    <row r="28" spans="1:12" s="60" customFormat="1" ht="36" x14ac:dyDescent="0.25">
      <c r="A28" s="58"/>
      <c r="B28" s="45">
        <f t="shared" si="2"/>
        <v>19</v>
      </c>
      <c r="C28" s="49" t="s">
        <v>10</v>
      </c>
      <c r="D28" s="63" t="s">
        <v>30</v>
      </c>
      <c r="E28" s="47" t="s">
        <v>71</v>
      </c>
      <c r="F28" s="47" t="s">
        <v>128</v>
      </c>
      <c r="G28" s="47" t="s">
        <v>164</v>
      </c>
      <c r="H28" s="47" t="s">
        <v>213</v>
      </c>
      <c r="I28" s="47" t="s">
        <v>270</v>
      </c>
      <c r="J28" s="47">
        <v>1</v>
      </c>
      <c r="K28" s="37">
        <f t="shared" si="1"/>
        <v>2</v>
      </c>
      <c r="L28" s="54"/>
    </row>
    <row r="29" spans="1:12" s="60" customFormat="1" ht="24" x14ac:dyDescent="0.25">
      <c r="A29" s="58"/>
      <c r="B29" s="44">
        <f>ROW(B29) - ROW($B$9)</f>
        <v>20</v>
      </c>
      <c r="C29" s="48" t="s">
        <v>11</v>
      </c>
      <c r="D29" s="62" t="s">
        <v>326</v>
      </c>
      <c r="E29" s="37" t="s">
        <v>72</v>
      </c>
      <c r="F29" s="37" t="s">
        <v>129</v>
      </c>
      <c r="G29" s="37" t="s">
        <v>165</v>
      </c>
      <c r="H29" s="37" t="s">
        <v>208</v>
      </c>
      <c r="I29" s="47" t="s">
        <v>270</v>
      </c>
      <c r="J29" s="37">
        <v>3</v>
      </c>
      <c r="K29" s="37">
        <f t="shared" si="1"/>
        <v>6</v>
      </c>
      <c r="L29" s="54"/>
    </row>
    <row r="30" spans="1:12" s="60" customFormat="1" x14ac:dyDescent="0.25">
      <c r="A30" s="58"/>
      <c r="B30" s="45">
        <f t="shared" si="2"/>
        <v>21</v>
      </c>
      <c r="C30" s="49" t="s">
        <v>11</v>
      </c>
      <c r="D30" s="63" t="s">
        <v>327</v>
      </c>
      <c r="E30" s="47" t="s">
        <v>73</v>
      </c>
      <c r="F30" s="47" t="s">
        <v>130</v>
      </c>
      <c r="G30" s="47" t="s">
        <v>166</v>
      </c>
      <c r="H30" s="47" t="s">
        <v>214</v>
      </c>
      <c r="I30" s="47" t="s">
        <v>270</v>
      </c>
      <c r="J30" s="47">
        <v>4</v>
      </c>
      <c r="K30" s="37">
        <f t="shared" si="1"/>
        <v>8</v>
      </c>
      <c r="L30" s="54"/>
    </row>
    <row r="31" spans="1:12" s="60" customFormat="1" ht="24" x14ac:dyDescent="0.25">
      <c r="A31" s="58"/>
      <c r="B31" s="44">
        <f>ROW(B31) - ROW($B$9)</f>
        <v>22</v>
      </c>
      <c r="C31" s="48" t="s">
        <v>12</v>
      </c>
      <c r="D31" s="62" t="s">
        <v>31</v>
      </c>
      <c r="E31" s="37" t="s">
        <v>74</v>
      </c>
      <c r="F31" s="37" t="s">
        <v>269</v>
      </c>
      <c r="G31" s="37" t="s">
        <v>167</v>
      </c>
      <c r="H31" s="37" t="s">
        <v>215</v>
      </c>
      <c r="I31" s="47" t="s">
        <v>270</v>
      </c>
      <c r="J31" s="37">
        <v>1</v>
      </c>
      <c r="K31" s="37">
        <f t="shared" si="1"/>
        <v>2</v>
      </c>
      <c r="L31" s="54"/>
    </row>
    <row r="32" spans="1:12" s="60" customFormat="1" ht="24" x14ac:dyDescent="0.25">
      <c r="A32" s="58"/>
      <c r="B32" s="45">
        <f t="shared" si="2"/>
        <v>23</v>
      </c>
      <c r="C32" s="49" t="s">
        <v>13</v>
      </c>
      <c r="D32" s="63" t="s">
        <v>32</v>
      </c>
      <c r="E32" s="47" t="s">
        <v>75</v>
      </c>
      <c r="F32" s="47" t="s">
        <v>269</v>
      </c>
      <c r="G32" s="47" t="s">
        <v>168</v>
      </c>
      <c r="H32" s="47" t="s">
        <v>216</v>
      </c>
      <c r="I32" s="47" t="s">
        <v>270</v>
      </c>
      <c r="J32" s="47">
        <v>1</v>
      </c>
      <c r="K32" s="37">
        <f t="shared" si="1"/>
        <v>2</v>
      </c>
      <c r="L32" s="54"/>
    </row>
    <row r="33" spans="1:12" s="60" customFormat="1" ht="24" x14ac:dyDescent="0.25">
      <c r="A33" s="58"/>
      <c r="B33" s="44">
        <f>ROW(B33) - ROW($B$9)</f>
        <v>24</v>
      </c>
      <c r="C33" s="48" t="s">
        <v>14</v>
      </c>
      <c r="D33" s="62" t="s">
        <v>33</v>
      </c>
      <c r="E33" s="37" t="s">
        <v>76</v>
      </c>
      <c r="F33" s="37" t="s">
        <v>269</v>
      </c>
      <c r="G33" s="37" t="s">
        <v>169</v>
      </c>
      <c r="H33" s="37" t="s">
        <v>217</v>
      </c>
      <c r="I33" s="47" t="s">
        <v>270</v>
      </c>
      <c r="J33" s="37">
        <v>1</v>
      </c>
      <c r="K33" s="37">
        <f t="shared" si="1"/>
        <v>2</v>
      </c>
      <c r="L33" s="54"/>
    </row>
    <row r="34" spans="1:12" s="60" customFormat="1" ht="36" x14ac:dyDescent="0.25">
      <c r="A34" s="58"/>
      <c r="B34" s="45">
        <f t="shared" si="2"/>
        <v>25</v>
      </c>
      <c r="C34" s="49" t="s">
        <v>13</v>
      </c>
      <c r="D34" s="56" t="s">
        <v>34</v>
      </c>
      <c r="E34" s="56" t="s">
        <v>77</v>
      </c>
      <c r="F34" s="56" t="s">
        <v>269</v>
      </c>
      <c r="G34" s="56" t="s">
        <v>131</v>
      </c>
      <c r="H34" s="56" t="s">
        <v>218</v>
      </c>
      <c r="I34" s="56" t="s">
        <v>247</v>
      </c>
      <c r="J34" s="56">
        <v>1</v>
      </c>
      <c r="K34" s="37">
        <f t="shared" si="1"/>
        <v>2</v>
      </c>
      <c r="L34" s="54"/>
    </row>
    <row r="35" spans="1:12" s="60" customFormat="1" ht="24" x14ac:dyDescent="0.25">
      <c r="A35" s="58"/>
      <c r="B35" s="44">
        <f>ROW(B35) - ROW($B$9)</f>
        <v>26</v>
      </c>
      <c r="C35" s="48" t="s">
        <v>15</v>
      </c>
      <c r="D35" s="62" t="s">
        <v>35</v>
      </c>
      <c r="E35" s="37" t="s">
        <v>78</v>
      </c>
      <c r="F35" s="37" t="s">
        <v>132</v>
      </c>
      <c r="G35" s="55">
        <v>61300211121</v>
      </c>
      <c r="H35" s="37" t="s">
        <v>219</v>
      </c>
      <c r="I35" s="37" t="s">
        <v>270</v>
      </c>
      <c r="J35" s="37">
        <v>2</v>
      </c>
      <c r="K35" s="37">
        <f t="shared" si="1"/>
        <v>4</v>
      </c>
      <c r="L35" s="54"/>
    </row>
    <row r="36" spans="1:12" s="60" customFormat="1" ht="24" x14ac:dyDescent="0.25">
      <c r="A36" s="58"/>
      <c r="B36" s="45">
        <f t="shared" si="2"/>
        <v>27</v>
      </c>
      <c r="C36" s="49" t="s">
        <v>16</v>
      </c>
      <c r="D36" s="63" t="s">
        <v>36</v>
      </c>
      <c r="E36" s="47" t="s">
        <v>79</v>
      </c>
      <c r="F36" s="47" t="s">
        <v>269</v>
      </c>
      <c r="G36" s="47" t="s">
        <v>170</v>
      </c>
      <c r="H36" s="47" t="s">
        <v>220</v>
      </c>
      <c r="I36" s="47" t="s">
        <v>248</v>
      </c>
      <c r="J36" s="47">
        <v>1</v>
      </c>
      <c r="K36" s="37">
        <f t="shared" si="1"/>
        <v>2</v>
      </c>
      <c r="L36" s="54"/>
    </row>
    <row r="37" spans="1:12" s="60" customFormat="1" ht="36" x14ac:dyDescent="0.25">
      <c r="A37" s="58"/>
      <c r="B37" s="44">
        <f>ROW(B37) - ROW($B$9)</f>
        <v>28</v>
      </c>
      <c r="C37" s="48" t="s">
        <v>16</v>
      </c>
      <c r="D37" s="62" t="s">
        <v>37</v>
      </c>
      <c r="E37" s="37" t="s">
        <v>80</v>
      </c>
      <c r="F37" s="37" t="s">
        <v>269</v>
      </c>
      <c r="G37" s="37" t="s">
        <v>171</v>
      </c>
      <c r="H37" s="37" t="s">
        <v>220</v>
      </c>
      <c r="I37" s="37" t="s">
        <v>249</v>
      </c>
      <c r="J37" s="37">
        <v>1</v>
      </c>
      <c r="K37" s="37">
        <f t="shared" si="1"/>
        <v>2</v>
      </c>
      <c r="L37" s="54"/>
    </row>
    <row r="38" spans="1:12" s="60" customFormat="1" ht="48" x14ac:dyDescent="0.25">
      <c r="A38" s="58"/>
      <c r="B38" s="45">
        <f t="shared" si="2"/>
        <v>29</v>
      </c>
      <c r="C38" s="49" t="s">
        <v>17</v>
      </c>
      <c r="D38" s="63" t="s">
        <v>38</v>
      </c>
      <c r="E38" s="47" t="s">
        <v>81</v>
      </c>
      <c r="F38" s="47" t="s">
        <v>133</v>
      </c>
      <c r="G38" s="47" t="s">
        <v>172</v>
      </c>
      <c r="H38" s="47" t="s">
        <v>221</v>
      </c>
      <c r="I38" s="47" t="s">
        <v>270</v>
      </c>
      <c r="J38" s="47">
        <v>1</v>
      </c>
      <c r="K38" s="37">
        <f t="shared" si="1"/>
        <v>2</v>
      </c>
      <c r="L38" s="54"/>
    </row>
    <row r="39" spans="1:12" s="60" customFormat="1" ht="48" x14ac:dyDescent="0.25">
      <c r="A39" s="58"/>
      <c r="B39" s="44">
        <f>ROW(B39) - ROW($B$9)</f>
        <v>30</v>
      </c>
      <c r="C39" s="48" t="s">
        <v>17</v>
      </c>
      <c r="D39" s="62" t="s">
        <v>39</v>
      </c>
      <c r="E39" s="37" t="s">
        <v>82</v>
      </c>
      <c r="F39" s="37" t="s">
        <v>133</v>
      </c>
      <c r="G39" s="37" t="s">
        <v>173</v>
      </c>
      <c r="H39" s="37" t="s">
        <v>221</v>
      </c>
      <c r="I39" s="37" t="s">
        <v>270</v>
      </c>
      <c r="J39" s="37">
        <v>1</v>
      </c>
      <c r="K39" s="37">
        <f t="shared" si="1"/>
        <v>2</v>
      </c>
      <c r="L39" s="54"/>
    </row>
    <row r="40" spans="1:12" s="60" customFormat="1" ht="48" x14ac:dyDescent="0.25">
      <c r="A40" s="58"/>
      <c r="B40" s="45">
        <f t="shared" si="2"/>
        <v>31</v>
      </c>
      <c r="C40" s="49" t="s">
        <v>17</v>
      </c>
      <c r="D40" s="63" t="s">
        <v>40</v>
      </c>
      <c r="E40" s="47" t="s">
        <v>83</v>
      </c>
      <c r="F40" s="47" t="s">
        <v>133</v>
      </c>
      <c r="G40" s="47" t="s">
        <v>174</v>
      </c>
      <c r="H40" s="47" t="s">
        <v>221</v>
      </c>
      <c r="I40" s="37" t="s">
        <v>270</v>
      </c>
      <c r="J40" s="47">
        <v>1</v>
      </c>
      <c r="K40" s="37">
        <f t="shared" si="1"/>
        <v>2</v>
      </c>
      <c r="L40" s="54"/>
    </row>
    <row r="41" spans="1:12" s="60" customFormat="1" ht="36" x14ac:dyDescent="0.25">
      <c r="A41" s="58"/>
      <c r="B41" s="44">
        <f>ROW(B41) - ROW($B$9)</f>
        <v>32</v>
      </c>
      <c r="C41" s="48" t="s">
        <v>18</v>
      </c>
      <c r="D41" s="62" t="s">
        <v>41</v>
      </c>
      <c r="E41" s="37" t="s">
        <v>84</v>
      </c>
      <c r="F41" s="37" t="s">
        <v>134</v>
      </c>
      <c r="G41" s="37" t="s">
        <v>175</v>
      </c>
      <c r="H41" s="37" t="s">
        <v>222</v>
      </c>
      <c r="I41" s="37" t="s">
        <v>270</v>
      </c>
      <c r="J41" s="37">
        <v>1</v>
      </c>
      <c r="K41" s="37">
        <f t="shared" si="1"/>
        <v>2</v>
      </c>
      <c r="L41" s="54"/>
    </row>
    <row r="42" spans="1:12" s="60" customFormat="1" ht="48" x14ac:dyDescent="0.25">
      <c r="A42" s="58"/>
      <c r="B42" s="45">
        <f t="shared" si="2"/>
        <v>33</v>
      </c>
      <c r="C42" s="49" t="s">
        <v>19</v>
      </c>
      <c r="D42" s="56" t="s">
        <v>328</v>
      </c>
      <c r="E42" s="56" t="s">
        <v>85</v>
      </c>
      <c r="F42" s="56" t="s">
        <v>269</v>
      </c>
      <c r="G42" s="56" t="s">
        <v>270</v>
      </c>
      <c r="H42" s="56" t="s">
        <v>270</v>
      </c>
      <c r="I42" s="55" t="s">
        <v>270</v>
      </c>
      <c r="J42" s="56">
        <v>15</v>
      </c>
      <c r="K42" s="37">
        <f t="shared" si="1"/>
        <v>30</v>
      </c>
      <c r="L42" s="54"/>
    </row>
    <row r="43" spans="1:12" s="60" customFormat="1" ht="24" x14ac:dyDescent="0.25">
      <c r="A43" s="58"/>
      <c r="B43" s="44">
        <f>ROW(B43) - ROW($B$9)</f>
        <v>34</v>
      </c>
      <c r="C43" s="48" t="s">
        <v>20</v>
      </c>
      <c r="D43" s="62" t="s">
        <v>42</v>
      </c>
      <c r="E43" s="37" t="s">
        <v>86</v>
      </c>
      <c r="F43" s="37" t="s">
        <v>135</v>
      </c>
      <c r="G43" s="37" t="s">
        <v>176</v>
      </c>
      <c r="H43" s="37" t="s">
        <v>223</v>
      </c>
      <c r="I43" s="37" t="s">
        <v>270</v>
      </c>
      <c r="J43" s="37">
        <v>1</v>
      </c>
      <c r="K43" s="37">
        <f t="shared" si="1"/>
        <v>2</v>
      </c>
      <c r="L43" s="54"/>
    </row>
    <row r="44" spans="1:12" s="60" customFormat="1" ht="36" x14ac:dyDescent="0.25">
      <c r="A44" s="58"/>
      <c r="B44" s="45">
        <f t="shared" si="2"/>
        <v>35</v>
      </c>
      <c r="C44" s="49" t="s">
        <v>20</v>
      </c>
      <c r="D44" s="63" t="s">
        <v>329</v>
      </c>
      <c r="E44" s="47" t="s">
        <v>87</v>
      </c>
      <c r="F44" s="47" t="s">
        <v>136</v>
      </c>
      <c r="G44" s="47" t="s">
        <v>177</v>
      </c>
      <c r="H44" s="47" t="s">
        <v>224</v>
      </c>
      <c r="I44" s="37" t="s">
        <v>270</v>
      </c>
      <c r="J44" s="47">
        <v>3</v>
      </c>
      <c r="K44" s="37">
        <f t="shared" si="1"/>
        <v>6</v>
      </c>
      <c r="L44" s="54"/>
    </row>
    <row r="45" spans="1:12" s="60" customFormat="1" ht="48" x14ac:dyDescent="0.25">
      <c r="A45" s="58"/>
      <c r="B45" s="44">
        <f t="shared" si="2"/>
        <v>36</v>
      </c>
      <c r="C45" s="48" t="s">
        <v>20</v>
      </c>
      <c r="D45" s="62" t="s">
        <v>43</v>
      </c>
      <c r="E45" s="37" t="s">
        <v>88</v>
      </c>
      <c r="F45" s="37" t="s">
        <v>137</v>
      </c>
      <c r="G45" s="37" t="s">
        <v>178</v>
      </c>
      <c r="H45" s="37" t="s">
        <v>225</v>
      </c>
      <c r="I45" s="37" t="s">
        <v>270</v>
      </c>
      <c r="J45" s="37">
        <v>4</v>
      </c>
      <c r="K45" s="37">
        <f t="shared" si="1"/>
        <v>8</v>
      </c>
      <c r="L45" s="54"/>
    </row>
    <row r="46" spans="1:12" s="60" customFormat="1" ht="48" x14ac:dyDescent="0.25">
      <c r="A46" s="58"/>
      <c r="B46" s="44">
        <f t="shared" si="2"/>
        <v>37</v>
      </c>
      <c r="C46" s="49" t="s">
        <v>21</v>
      </c>
      <c r="D46" s="63" t="s">
        <v>330</v>
      </c>
      <c r="E46" s="37" t="s">
        <v>90</v>
      </c>
      <c r="F46" s="37" t="s">
        <v>138</v>
      </c>
      <c r="G46" s="37" t="s">
        <v>180</v>
      </c>
      <c r="H46" s="37" t="s">
        <v>205</v>
      </c>
      <c r="I46" s="37" t="s">
        <v>251</v>
      </c>
      <c r="J46" s="37">
        <v>14</v>
      </c>
      <c r="K46" s="37">
        <f t="shared" si="1"/>
        <v>28</v>
      </c>
      <c r="L46" s="54"/>
    </row>
    <row r="47" spans="1:12" s="60" customFormat="1" x14ac:dyDescent="0.25">
      <c r="A47" s="58"/>
      <c r="B47" s="45">
        <f t="shared" si="2"/>
        <v>38</v>
      </c>
      <c r="C47" s="49" t="s">
        <v>21</v>
      </c>
      <c r="D47" s="62" t="s">
        <v>331</v>
      </c>
      <c r="E47" s="47" t="s">
        <v>332</v>
      </c>
      <c r="F47" s="47" t="s">
        <v>138</v>
      </c>
      <c r="G47" s="47" t="s">
        <v>333</v>
      </c>
      <c r="H47" s="47" t="s">
        <v>334</v>
      </c>
      <c r="I47" s="47" t="s">
        <v>340</v>
      </c>
      <c r="J47" s="47">
        <v>1</v>
      </c>
      <c r="K47" s="37">
        <f>J47*2</f>
        <v>2</v>
      </c>
      <c r="L47" s="54"/>
    </row>
    <row r="48" spans="1:12" s="60" customFormat="1" x14ac:dyDescent="0.25">
      <c r="A48" s="58"/>
      <c r="B48" s="45">
        <f t="shared" si="2"/>
        <v>39</v>
      </c>
      <c r="C48" s="49" t="s">
        <v>21</v>
      </c>
      <c r="D48" s="63" t="s">
        <v>287</v>
      </c>
      <c r="E48" s="47" t="s">
        <v>89</v>
      </c>
      <c r="F48" s="47" t="s">
        <v>138</v>
      </c>
      <c r="G48" s="47" t="s">
        <v>179</v>
      </c>
      <c r="H48" s="47" t="s">
        <v>205</v>
      </c>
      <c r="I48" s="47" t="s">
        <v>250</v>
      </c>
      <c r="J48" s="47">
        <v>4</v>
      </c>
      <c r="K48" s="37">
        <f>J48*2</f>
        <v>8</v>
      </c>
      <c r="L48" s="54"/>
    </row>
    <row r="49" spans="1:12" s="60" customFormat="1" x14ac:dyDescent="0.25">
      <c r="A49" s="58"/>
      <c r="B49" s="45">
        <f t="shared" si="2"/>
        <v>40</v>
      </c>
      <c r="C49" s="49" t="s">
        <v>21</v>
      </c>
      <c r="D49" s="62" t="s">
        <v>335</v>
      </c>
      <c r="E49" s="47" t="s">
        <v>92</v>
      </c>
      <c r="F49" s="47" t="s">
        <v>138</v>
      </c>
      <c r="G49" s="47" t="s">
        <v>182</v>
      </c>
      <c r="H49" s="47" t="s">
        <v>205</v>
      </c>
      <c r="I49" s="47" t="s">
        <v>253</v>
      </c>
      <c r="J49" s="47">
        <v>3</v>
      </c>
      <c r="K49" s="37">
        <f>J49*2</f>
        <v>6</v>
      </c>
      <c r="L49" s="54"/>
    </row>
    <row r="50" spans="1:12" s="60" customFormat="1" x14ac:dyDescent="0.25">
      <c r="A50" s="58"/>
      <c r="B50" s="44">
        <f t="shared" si="2"/>
        <v>41</v>
      </c>
      <c r="C50" s="49" t="s">
        <v>21</v>
      </c>
      <c r="D50" s="63" t="s">
        <v>336</v>
      </c>
      <c r="E50" s="37" t="s">
        <v>337</v>
      </c>
      <c r="F50" s="37" t="s">
        <v>138</v>
      </c>
      <c r="G50" s="37" t="s">
        <v>338</v>
      </c>
      <c r="H50" s="37" t="s">
        <v>205</v>
      </c>
      <c r="I50" s="37" t="s">
        <v>341</v>
      </c>
      <c r="J50" s="37">
        <v>1</v>
      </c>
      <c r="K50" s="37">
        <f>J50*2</f>
        <v>2</v>
      </c>
      <c r="L50" s="54"/>
    </row>
    <row r="51" spans="1:12" s="60" customFormat="1" ht="36" x14ac:dyDescent="0.25">
      <c r="A51" s="58"/>
      <c r="B51" s="44">
        <f t="shared" si="2"/>
        <v>42</v>
      </c>
      <c r="C51" s="48" t="s">
        <v>21</v>
      </c>
      <c r="D51" s="62" t="s">
        <v>288</v>
      </c>
      <c r="E51" s="37" t="s">
        <v>91</v>
      </c>
      <c r="F51" s="37" t="s">
        <v>139</v>
      </c>
      <c r="G51" s="37" t="s">
        <v>181</v>
      </c>
      <c r="H51" s="37" t="s">
        <v>226</v>
      </c>
      <c r="I51" s="37" t="s">
        <v>252</v>
      </c>
      <c r="J51" s="37">
        <v>1</v>
      </c>
      <c r="K51" s="37">
        <f t="shared" si="1"/>
        <v>2</v>
      </c>
      <c r="L51" s="54"/>
    </row>
    <row r="52" spans="1:12" s="60" customFormat="1" x14ac:dyDescent="0.25">
      <c r="A52" s="58"/>
      <c r="B52" s="44">
        <f t="shared" si="2"/>
        <v>43</v>
      </c>
      <c r="C52" s="49" t="s">
        <v>21</v>
      </c>
      <c r="D52" s="63" t="s">
        <v>289</v>
      </c>
      <c r="E52" s="37" t="s">
        <v>94</v>
      </c>
      <c r="F52" s="37" t="s">
        <v>138</v>
      </c>
      <c r="G52" s="37" t="s">
        <v>184</v>
      </c>
      <c r="H52" s="37" t="s">
        <v>205</v>
      </c>
      <c r="I52" s="37" t="s">
        <v>255</v>
      </c>
      <c r="J52" s="37">
        <v>1</v>
      </c>
      <c r="K52" s="37">
        <f t="shared" si="1"/>
        <v>2</v>
      </c>
      <c r="L52" s="54"/>
    </row>
    <row r="53" spans="1:12" s="60" customFormat="1" x14ac:dyDescent="0.25">
      <c r="A53" s="58"/>
      <c r="B53" s="45">
        <f t="shared" si="2"/>
        <v>44</v>
      </c>
      <c r="C53" s="49" t="s">
        <v>21</v>
      </c>
      <c r="D53" s="62" t="s">
        <v>290</v>
      </c>
      <c r="E53" s="47" t="s">
        <v>95</v>
      </c>
      <c r="F53" s="47" t="s">
        <v>138</v>
      </c>
      <c r="G53" s="47" t="s">
        <v>185</v>
      </c>
      <c r="H53" s="47" t="s">
        <v>205</v>
      </c>
      <c r="I53" s="47" t="s">
        <v>256</v>
      </c>
      <c r="J53" s="47">
        <v>1</v>
      </c>
      <c r="K53" s="37">
        <f t="shared" si="1"/>
        <v>2</v>
      </c>
      <c r="L53" s="54"/>
    </row>
    <row r="54" spans="1:12" s="60" customFormat="1" x14ac:dyDescent="0.25">
      <c r="A54" s="58"/>
      <c r="B54" s="45">
        <f t="shared" si="2"/>
        <v>45</v>
      </c>
      <c r="C54" s="49" t="s">
        <v>21</v>
      </c>
      <c r="D54" s="63" t="s">
        <v>44</v>
      </c>
      <c r="E54" s="47" t="s">
        <v>97</v>
      </c>
      <c r="F54" s="47" t="s">
        <v>138</v>
      </c>
      <c r="G54" s="47" t="s">
        <v>187</v>
      </c>
      <c r="H54" s="47" t="s">
        <v>205</v>
      </c>
      <c r="I54" s="47" t="s">
        <v>258</v>
      </c>
      <c r="J54" s="47">
        <v>1</v>
      </c>
      <c r="K54" s="37">
        <f t="shared" si="1"/>
        <v>2</v>
      </c>
      <c r="L54" s="54"/>
    </row>
    <row r="55" spans="1:12" s="60" customFormat="1" x14ac:dyDescent="0.25">
      <c r="A55" s="58"/>
      <c r="B55" s="44">
        <f t="shared" si="2"/>
        <v>46</v>
      </c>
      <c r="C55" s="48" t="s">
        <v>21</v>
      </c>
      <c r="D55" s="62" t="s">
        <v>45</v>
      </c>
      <c r="E55" s="37" t="s">
        <v>98</v>
      </c>
      <c r="F55" s="37" t="s">
        <v>138</v>
      </c>
      <c r="G55" s="37" t="s">
        <v>188</v>
      </c>
      <c r="H55" s="37" t="s">
        <v>205</v>
      </c>
      <c r="I55" s="37" t="s">
        <v>259</v>
      </c>
      <c r="J55" s="37">
        <v>1</v>
      </c>
      <c r="K55" s="37">
        <f t="shared" si="1"/>
        <v>2</v>
      </c>
      <c r="L55" s="54"/>
    </row>
    <row r="56" spans="1:12" s="60" customFormat="1" ht="24" x14ac:dyDescent="0.25">
      <c r="A56" s="58"/>
      <c r="B56" s="44">
        <f t="shared" si="2"/>
        <v>47</v>
      </c>
      <c r="C56" s="49" t="s">
        <v>21</v>
      </c>
      <c r="D56" s="63" t="s">
        <v>291</v>
      </c>
      <c r="E56" s="37" t="s">
        <v>96</v>
      </c>
      <c r="F56" s="37" t="s">
        <v>138</v>
      </c>
      <c r="G56" s="37" t="s">
        <v>186</v>
      </c>
      <c r="H56" s="37" t="s">
        <v>205</v>
      </c>
      <c r="I56" s="37" t="s">
        <v>257</v>
      </c>
      <c r="J56" s="37">
        <v>6</v>
      </c>
      <c r="K56" s="37">
        <f t="shared" si="1"/>
        <v>12</v>
      </c>
      <c r="L56" s="54"/>
    </row>
    <row r="57" spans="1:12" s="60" customFormat="1" x14ac:dyDescent="0.25">
      <c r="A57" s="58"/>
      <c r="B57" s="45">
        <f t="shared" si="2"/>
        <v>48</v>
      </c>
      <c r="C57" s="48" t="s">
        <v>21</v>
      </c>
      <c r="D57" s="62" t="s">
        <v>292</v>
      </c>
      <c r="E57" s="47" t="s">
        <v>99</v>
      </c>
      <c r="F57" s="47" t="s">
        <v>138</v>
      </c>
      <c r="G57" s="47" t="s">
        <v>189</v>
      </c>
      <c r="H57" s="47" t="s">
        <v>205</v>
      </c>
      <c r="I57" s="47" t="s">
        <v>260</v>
      </c>
      <c r="J57" s="47">
        <v>1</v>
      </c>
      <c r="K57" s="37">
        <f t="shared" si="1"/>
        <v>2</v>
      </c>
      <c r="L57" s="54"/>
    </row>
    <row r="58" spans="1:12" s="60" customFormat="1" x14ac:dyDescent="0.25">
      <c r="A58" s="58"/>
      <c r="B58" s="44">
        <f t="shared" si="2"/>
        <v>49</v>
      </c>
      <c r="C58" s="48" t="s">
        <v>21</v>
      </c>
      <c r="D58" s="63" t="s">
        <v>293</v>
      </c>
      <c r="E58" s="37" t="s">
        <v>100</v>
      </c>
      <c r="F58" s="37" t="s">
        <v>138</v>
      </c>
      <c r="G58" s="37" t="s">
        <v>190</v>
      </c>
      <c r="H58" s="37" t="s">
        <v>205</v>
      </c>
      <c r="I58" s="37" t="s">
        <v>261</v>
      </c>
      <c r="J58" s="37">
        <v>2</v>
      </c>
      <c r="K58" s="37">
        <f t="shared" si="1"/>
        <v>4</v>
      </c>
      <c r="L58" s="54"/>
    </row>
    <row r="59" spans="1:12" s="60" customFormat="1" x14ac:dyDescent="0.25">
      <c r="A59" s="58"/>
      <c r="B59" s="45">
        <f t="shared" si="2"/>
        <v>50</v>
      </c>
      <c r="C59" s="49" t="s">
        <v>21</v>
      </c>
      <c r="D59" s="62" t="s">
        <v>294</v>
      </c>
      <c r="E59" s="47" t="s">
        <v>101</v>
      </c>
      <c r="F59" s="47" t="s">
        <v>138</v>
      </c>
      <c r="G59" s="47" t="s">
        <v>191</v>
      </c>
      <c r="H59" s="47" t="s">
        <v>205</v>
      </c>
      <c r="I59" s="47" t="s">
        <v>262</v>
      </c>
      <c r="J59" s="47">
        <v>1</v>
      </c>
      <c r="K59" s="37">
        <f t="shared" si="1"/>
        <v>2</v>
      </c>
      <c r="L59" s="54"/>
    </row>
    <row r="60" spans="1:12" s="60" customFormat="1" ht="24" x14ac:dyDescent="0.25">
      <c r="A60" s="58"/>
      <c r="B60" s="44">
        <f t="shared" si="2"/>
        <v>51</v>
      </c>
      <c r="C60" s="48" t="s">
        <v>21</v>
      </c>
      <c r="D60" s="63" t="s">
        <v>295</v>
      </c>
      <c r="E60" s="37" t="s">
        <v>102</v>
      </c>
      <c r="F60" s="37" t="s">
        <v>138</v>
      </c>
      <c r="G60" s="37" t="s">
        <v>192</v>
      </c>
      <c r="H60" s="37" t="s">
        <v>205</v>
      </c>
      <c r="I60" s="37" t="s">
        <v>263</v>
      </c>
      <c r="J60" s="37">
        <v>5</v>
      </c>
      <c r="K60" s="37">
        <f t="shared" si="1"/>
        <v>10</v>
      </c>
      <c r="L60" s="54"/>
    </row>
    <row r="61" spans="1:12" s="60" customFormat="1" ht="24" x14ac:dyDescent="0.25">
      <c r="A61" s="58"/>
      <c r="B61" s="45">
        <f t="shared" si="2"/>
        <v>52</v>
      </c>
      <c r="C61" s="49" t="s">
        <v>21</v>
      </c>
      <c r="D61" s="62" t="s">
        <v>296</v>
      </c>
      <c r="E61" s="47" t="s">
        <v>93</v>
      </c>
      <c r="F61" s="47" t="s">
        <v>138</v>
      </c>
      <c r="G61" s="47" t="s">
        <v>183</v>
      </c>
      <c r="H61" s="47" t="s">
        <v>205</v>
      </c>
      <c r="I61" s="47" t="s">
        <v>254</v>
      </c>
      <c r="J61" s="47">
        <v>5</v>
      </c>
      <c r="K61" s="37">
        <f t="shared" si="1"/>
        <v>10</v>
      </c>
      <c r="L61" s="54"/>
    </row>
    <row r="62" spans="1:12" s="60" customFormat="1" x14ac:dyDescent="0.25">
      <c r="A62" s="58"/>
      <c r="B62" s="45">
        <f t="shared" si="2"/>
        <v>53</v>
      </c>
      <c r="C62" s="49" t="s">
        <v>21</v>
      </c>
      <c r="D62" s="63" t="s">
        <v>297</v>
      </c>
      <c r="E62" s="47" t="s">
        <v>103</v>
      </c>
      <c r="F62" s="47" t="s">
        <v>138</v>
      </c>
      <c r="G62" s="47" t="s">
        <v>193</v>
      </c>
      <c r="H62" s="47" t="s">
        <v>205</v>
      </c>
      <c r="I62" s="47" t="s">
        <v>264</v>
      </c>
      <c r="J62" s="47">
        <v>2</v>
      </c>
      <c r="K62" s="37">
        <f t="shared" si="1"/>
        <v>4</v>
      </c>
      <c r="L62" s="54"/>
    </row>
    <row r="63" spans="1:12" s="60" customFormat="1" x14ac:dyDescent="0.25">
      <c r="A63" s="58"/>
      <c r="B63" s="44">
        <f>ROW(B63) - ROW($B$9)</f>
        <v>54</v>
      </c>
      <c r="C63" s="48" t="s">
        <v>21</v>
      </c>
      <c r="D63" s="62" t="s">
        <v>298</v>
      </c>
      <c r="E63" s="37" t="s">
        <v>104</v>
      </c>
      <c r="F63" s="37" t="s">
        <v>138</v>
      </c>
      <c r="G63" s="37" t="s">
        <v>194</v>
      </c>
      <c r="H63" s="37" t="s">
        <v>205</v>
      </c>
      <c r="I63" s="37" t="s">
        <v>265</v>
      </c>
      <c r="J63" s="37">
        <v>4</v>
      </c>
      <c r="K63" s="37">
        <f t="shared" si="1"/>
        <v>8</v>
      </c>
      <c r="L63" s="54"/>
    </row>
    <row r="64" spans="1:12" s="60" customFormat="1" x14ac:dyDescent="0.25">
      <c r="A64" s="58"/>
      <c r="B64" s="45">
        <f t="shared" si="2"/>
        <v>55</v>
      </c>
      <c r="C64" s="49" t="s">
        <v>21</v>
      </c>
      <c r="D64" s="63" t="s">
        <v>299</v>
      </c>
      <c r="E64" s="47" t="s">
        <v>105</v>
      </c>
      <c r="F64" s="47" t="s">
        <v>138</v>
      </c>
      <c r="G64" s="47" t="s">
        <v>195</v>
      </c>
      <c r="H64" s="47" t="s">
        <v>205</v>
      </c>
      <c r="I64" s="47" t="s">
        <v>266</v>
      </c>
      <c r="J64" s="47">
        <v>1</v>
      </c>
      <c r="K64" s="37">
        <f t="shared" si="1"/>
        <v>2</v>
      </c>
      <c r="L64" s="54"/>
    </row>
    <row r="65" spans="1:12" s="60" customFormat="1" ht="36" x14ac:dyDescent="0.25">
      <c r="A65" s="58"/>
      <c r="B65" s="45">
        <f t="shared" si="2"/>
        <v>56</v>
      </c>
      <c r="C65" s="49" t="s">
        <v>22</v>
      </c>
      <c r="D65" s="56" t="s">
        <v>300</v>
      </c>
      <c r="E65" s="56" t="s">
        <v>106</v>
      </c>
      <c r="F65" s="56" t="s">
        <v>269</v>
      </c>
      <c r="G65" s="56" t="s">
        <v>140</v>
      </c>
      <c r="H65" s="56" t="s">
        <v>270</v>
      </c>
      <c r="I65" s="57" t="s">
        <v>270</v>
      </c>
      <c r="J65" s="56">
        <v>10</v>
      </c>
      <c r="K65" s="56">
        <f t="shared" si="1"/>
        <v>20</v>
      </c>
      <c r="L65" s="54"/>
    </row>
    <row r="66" spans="1:12" s="60" customFormat="1" ht="48" x14ac:dyDescent="0.25">
      <c r="A66" s="58"/>
      <c r="B66" s="44">
        <f>ROW(B66) - ROW($B$9)</f>
        <v>57</v>
      </c>
      <c r="C66" s="48" t="s">
        <v>23</v>
      </c>
      <c r="D66" s="37" t="s">
        <v>301</v>
      </c>
      <c r="E66" s="37" t="s">
        <v>108</v>
      </c>
      <c r="F66" s="47" t="s">
        <v>269</v>
      </c>
      <c r="G66" s="37" t="s">
        <v>142</v>
      </c>
      <c r="H66" s="37" t="s">
        <v>227</v>
      </c>
      <c r="I66" s="47" t="s">
        <v>270</v>
      </c>
      <c r="J66" s="37">
        <v>2</v>
      </c>
      <c r="K66" s="37">
        <f>J66*2</f>
        <v>4</v>
      </c>
      <c r="L66" s="54"/>
    </row>
    <row r="67" spans="1:12" s="60" customFormat="1" ht="48" x14ac:dyDescent="0.25">
      <c r="A67" s="58"/>
      <c r="B67" s="45">
        <f>ROW(B67) - ROW($B$9)</f>
        <v>58</v>
      </c>
      <c r="C67" s="48" t="s">
        <v>23</v>
      </c>
      <c r="D67" s="47" t="s">
        <v>302</v>
      </c>
      <c r="E67" s="47" t="s">
        <v>109</v>
      </c>
      <c r="F67" s="47" t="s">
        <v>269</v>
      </c>
      <c r="G67" s="47" t="s">
        <v>196</v>
      </c>
      <c r="H67" s="47" t="s">
        <v>228</v>
      </c>
      <c r="I67" s="47" t="s">
        <v>270</v>
      </c>
      <c r="J67" s="47">
        <v>1</v>
      </c>
      <c r="K67" s="37">
        <f>J67*2</f>
        <v>2</v>
      </c>
      <c r="L67" s="54"/>
    </row>
    <row r="68" spans="1:12" s="60" customFormat="1" ht="48" x14ac:dyDescent="0.25">
      <c r="A68" s="58"/>
      <c r="B68" s="44">
        <f>ROW(B68) - ROW($B$9)</f>
        <v>59</v>
      </c>
      <c r="C68" s="48" t="s">
        <v>23</v>
      </c>
      <c r="D68" s="37" t="s">
        <v>303</v>
      </c>
      <c r="E68" s="37" t="s">
        <v>110</v>
      </c>
      <c r="F68" s="47" t="s">
        <v>269</v>
      </c>
      <c r="G68" s="37" t="s">
        <v>197</v>
      </c>
      <c r="H68" s="37" t="s">
        <v>227</v>
      </c>
      <c r="I68" s="47" t="s">
        <v>270</v>
      </c>
      <c r="J68" s="37">
        <v>4</v>
      </c>
      <c r="K68" s="37">
        <f>J68*2</f>
        <v>8</v>
      </c>
      <c r="L68" s="54"/>
    </row>
    <row r="69" spans="1:12" s="60" customFormat="1" ht="48" x14ac:dyDescent="0.25">
      <c r="A69" s="58"/>
      <c r="B69" s="45">
        <f t="shared" si="2"/>
        <v>60</v>
      </c>
      <c r="C69" s="49" t="s">
        <v>23</v>
      </c>
      <c r="D69" s="47" t="s">
        <v>304</v>
      </c>
      <c r="E69" s="47" t="s">
        <v>107</v>
      </c>
      <c r="F69" s="47" t="s">
        <v>269</v>
      </c>
      <c r="G69" s="47" t="s">
        <v>141</v>
      </c>
      <c r="H69" s="47" t="s">
        <v>227</v>
      </c>
      <c r="I69" s="47" t="s">
        <v>270</v>
      </c>
      <c r="J69" s="47">
        <v>1</v>
      </c>
      <c r="K69" s="37">
        <f t="shared" si="1"/>
        <v>2</v>
      </c>
      <c r="L69" s="54"/>
    </row>
    <row r="70" spans="1:12" s="60" customFormat="1" ht="24" x14ac:dyDescent="0.25">
      <c r="A70" s="58"/>
      <c r="B70" s="44">
        <f t="shared" si="2"/>
        <v>61</v>
      </c>
      <c r="C70" s="48" t="s">
        <v>24</v>
      </c>
      <c r="D70" s="37" t="s">
        <v>46</v>
      </c>
      <c r="E70" s="37" t="s">
        <v>111</v>
      </c>
      <c r="F70" s="37" t="s">
        <v>144</v>
      </c>
      <c r="G70" s="37" t="s">
        <v>198</v>
      </c>
      <c r="H70" s="37" t="s">
        <v>230</v>
      </c>
      <c r="I70" s="47" t="s">
        <v>270</v>
      </c>
      <c r="J70" s="37">
        <v>1</v>
      </c>
      <c r="K70" s="37">
        <f t="shared" si="1"/>
        <v>2</v>
      </c>
      <c r="L70" s="54"/>
    </row>
    <row r="71" spans="1:12" s="60" customFormat="1" ht="48" x14ac:dyDescent="0.25">
      <c r="A71" s="58"/>
      <c r="B71" s="44">
        <f t="shared" si="2"/>
        <v>62</v>
      </c>
      <c r="C71" s="48" t="s">
        <v>24</v>
      </c>
      <c r="D71" s="47" t="s">
        <v>47</v>
      </c>
      <c r="E71" s="37" t="s">
        <v>112</v>
      </c>
      <c r="F71" s="37" t="s">
        <v>145</v>
      </c>
      <c r="G71" s="37" t="s">
        <v>199</v>
      </c>
      <c r="H71" s="37" t="s">
        <v>232</v>
      </c>
      <c r="I71" s="47" t="s">
        <v>270</v>
      </c>
      <c r="J71" s="37">
        <v>1</v>
      </c>
      <c r="K71" s="37">
        <f t="shared" si="1"/>
        <v>2</v>
      </c>
      <c r="L71" s="54"/>
    </row>
    <row r="72" spans="1:12" s="60" customFormat="1" ht="36" x14ac:dyDescent="0.25">
      <c r="A72" s="58"/>
      <c r="B72" s="44">
        <f t="shared" si="2"/>
        <v>63</v>
      </c>
      <c r="C72" s="48" t="s">
        <v>24</v>
      </c>
      <c r="D72" s="62" t="s">
        <v>48</v>
      </c>
      <c r="E72" s="37" t="s">
        <v>114</v>
      </c>
      <c r="F72" s="37" t="s">
        <v>147</v>
      </c>
      <c r="G72" s="37" t="s">
        <v>236</v>
      </c>
      <c r="H72" s="37" t="s">
        <v>233</v>
      </c>
      <c r="I72" s="47" t="s">
        <v>270</v>
      </c>
      <c r="J72" s="37">
        <v>1</v>
      </c>
      <c r="K72" s="37">
        <f>J72*2</f>
        <v>2</v>
      </c>
      <c r="L72" s="54"/>
    </row>
    <row r="73" spans="1:12" s="60" customFormat="1" ht="24" x14ac:dyDescent="0.25">
      <c r="A73" s="58"/>
      <c r="B73" s="45">
        <f t="shared" si="2"/>
        <v>64</v>
      </c>
      <c r="C73" s="49" t="s">
        <v>25</v>
      </c>
      <c r="D73" s="63" t="s">
        <v>49</v>
      </c>
      <c r="E73" s="47" t="s">
        <v>115</v>
      </c>
      <c r="F73" s="47" t="s">
        <v>148</v>
      </c>
      <c r="G73" s="47" t="s">
        <v>201</v>
      </c>
      <c r="H73" s="47" t="s">
        <v>234</v>
      </c>
      <c r="I73" s="47" t="s">
        <v>270</v>
      </c>
      <c r="J73" s="47">
        <v>1</v>
      </c>
      <c r="K73" s="37">
        <f>J73*2</f>
        <v>2</v>
      </c>
      <c r="L73" s="54"/>
    </row>
    <row r="74" spans="1:12" s="60" customFormat="1" ht="24" x14ac:dyDescent="0.25">
      <c r="A74" s="58"/>
      <c r="B74" s="44">
        <f t="shared" si="2"/>
        <v>65</v>
      </c>
      <c r="C74" s="48" t="s">
        <v>24</v>
      </c>
      <c r="D74" s="63" t="s">
        <v>50</v>
      </c>
      <c r="E74" s="37" t="s">
        <v>116</v>
      </c>
      <c r="F74" s="37" t="s">
        <v>149</v>
      </c>
      <c r="G74" s="37" t="s">
        <v>202</v>
      </c>
      <c r="H74" s="37" t="s">
        <v>235</v>
      </c>
      <c r="I74" s="47" t="s">
        <v>270</v>
      </c>
      <c r="J74" s="37">
        <v>1</v>
      </c>
      <c r="K74" s="37">
        <f>J74*2</f>
        <v>2</v>
      </c>
      <c r="L74" s="54"/>
    </row>
    <row r="75" spans="1:12" s="60" customFormat="1" x14ac:dyDescent="0.25">
      <c r="A75" s="58"/>
      <c r="B75" s="45">
        <f t="shared" si="2"/>
        <v>66</v>
      </c>
      <c r="C75" s="49" t="s">
        <v>24</v>
      </c>
      <c r="D75" s="63" t="s">
        <v>51</v>
      </c>
      <c r="E75" s="47" t="s">
        <v>117</v>
      </c>
      <c r="F75" s="47" t="s">
        <v>150</v>
      </c>
      <c r="G75" s="47" t="s">
        <v>203</v>
      </c>
      <c r="H75" s="47" t="s">
        <v>212</v>
      </c>
      <c r="I75" s="47" t="s">
        <v>270</v>
      </c>
      <c r="J75" s="47">
        <v>1</v>
      </c>
      <c r="K75" s="37">
        <f>J75*2</f>
        <v>2</v>
      </c>
      <c r="L75" s="54"/>
    </row>
    <row r="76" spans="1:12" s="60" customFormat="1" x14ac:dyDescent="0.25">
      <c r="A76" s="58"/>
      <c r="B76" s="45">
        <f t="shared" si="2"/>
        <v>67</v>
      </c>
      <c r="C76" s="48" t="s">
        <v>24</v>
      </c>
      <c r="D76" s="55" t="s">
        <v>52</v>
      </c>
      <c r="E76" s="55" t="s">
        <v>305</v>
      </c>
      <c r="F76" s="55" t="s">
        <v>143</v>
      </c>
      <c r="G76" s="55" t="s">
        <v>306</v>
      </c>
      <c r="H76" s="55" t="s">
        <v>229</v>
      </c>
      <c r="I76" s="55" t="s">
        <v>270</v>
      </c>
      <c r="J76" s="55">
        <v>1</v>
      </c>
      <c r="K76" s="55">
        <f t="shared" ref="K76:K79" si="3">J76*2</f>
        <v>2</v>
      </c>
      <c r="L76" s="54"/>
    </row>
    <row r="77" spans="1:12" s="60" customFormat="1" ht="24" x14ac:dyDescent="0.25">
      <c r="A77" s="58"/>
      <c r="B77" s="45">
        <f t="shared" si="2"/>
        <v>68</v>
      </c>
      <c r="C77" s="49" t="s">
        <v>24</v>
      </c>
      <c r="D77" s="47" t="s">
        <v>53</v>
      </c>
      <c r="E77" s="47" t="s">
        <v>307</v>
      </c>
      <c r="F77" s="47" t="s">
        <v>146</v>
      </c>
      <c r="G77" s="47" t="s">
        <v>308</v>
      </c>
      <c r="H77" s="47" t="s">
        <v>309</v>
      </c>
      <c r="I77" s="47" t="s">
        <v>270</v>
      </c>
      <c r="J77" s="47">
        <v>1</v>
      </c>
      <c r="K77" s="37">
        <f t="shared" si="3"/>
        <v>2</v>
      </c>
      <c r="L77" s="54"/>
    </row>
    <row r="78" spans="1:12" s="60" customFormat="1" ht="24.75" thickBot="1" x14ac:dyDescent="0.3">
      <c r="A78" s="58"/>
      <c r="B78" s="45">
        <f t="shared" si="2"/>
        <v>69</v>
      </c>
      <c r="C78" s="49" t="s">
        <v>24</v>
      </c>
      <c r="D78" s="37" t="s">
        <v>54</v>
      </c>
      <c r="E78" s="47" t="s">
        <v>113</v>
      </c>
      <c r="F78" s="47" t="s">
        <v>146</v>
      </c>
      <c r="G78" s="47" t="s">
        <v>200</v>
      </c>
      <c r="H78" s="47" t="s">
        <v>231</v>
      </c>
      <c r="I78" s="47" t="s">
        <v>270</v>
      </c>
      <c r="J78" s="47">
        <v>1</v>
      </c>
      <c r="K78" s="37">
        <f t="shared" si="3"/>
        <v>2</v>
      </c>
      <c r="L78" s="54"/>
    </row>
    <row r="79" spans="1:12" ht="36" x14ac:dyDescent="0.25">
      <c r="A79" s="1"/>
      <c r="B79" s="45">
        <f t="shared" si="2"/>
        <v>70</v>
      </c>
      <c r="C79" s="49" t="s">
        <v>310</v>
      </c>
      <c r="D79" s="37" t="s">
        <v>311</v>
      </c>
      <c r="E79" s="47" t="s">
        <v>312</v>
      </c>
      <c r="F79" s="47" t="s">
        <v>270</v>
      </c>
      <c r="G79" s="47" t="s">
        <v>270</v>
      </c>
      <c r="H79" s="47" t="s">
        <v>270</v>
      </c>
      <c r="I79" s="47" t="s">
        <v>270</v>
      </c>
      <c r="J79" s="47">
        <v>1</v>
      </c>
      <c r="K79" s="37">
        <f t="shared" si="3"/>
        <v>2</v>
      </c>
      <c r="L79" s="68"/>
    </row>
    <row r="80" spans="1:12" ht="15.75" thickBot="1" x14ac:dyDescent="0.3">
      <c r="A80" s="1"/>
      <c r="B80" s="38"/>
      <c r="C80" s="39"/>
      <c r="D80" s="40"/>
      <c r="E80" s="41"/>
      <c r="F80" s="42"/>
      <c r="G80" s="43"/>
      <c r="H80" s="42"/>
      <c r="I80" s="61"/>
      <c r="J80" s="61"/>
      <c r="K80" s="61"/>
      <c r="L80" s="50"/>
    </row>
    <row r="81" spans="2:12" ht="15.75" thickBot="1" x14ac:dyDescent="0.3">
      <c r="B81" s="25"/>
      <c r="C81" s="36"/>
      <c r="D81" s="9"/>
      <c r="E81" s="10"/>
      <c r="F81" s="10"/>
      <c r="G81" s="10"/>
      <c r="H81" s="10"/>
      <c r="I81" s="42"/>
      <c r="J81" s="42"/>
      <c r="K81" s="42"/>
      <c r="L81" s="50"/>
    </row>
  </sheetData>
  <mergeCells count="2">
    <mergeCell ref="I1:L1"/>
    <mergeCell ref="L3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2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2023-04-14T11:53:50Z</dcterms:modified>
</cp:coreProperties>
</file>