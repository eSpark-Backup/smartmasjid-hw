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BOM\"/>
    </mc:Choice>
  </mc:AlternateContent>
  <bookViews>
    <workbookView xWindow="28680" yWindow="-120" windowWidth="29040" windowHeight="15840" activeTab="1"/>
  </bookViews>
  <sheets>
    <sheet name="5 Boards" sheetId="1" r:id="rId1"/>
    <sheet name="2 Boards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Q65" i="2" l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Q78" i="2"/>
  <c r="Q77" i="2"/>
  <c r="Q76" i="2"/>
  <c r="Q75" i="2"/>
  <c r="Q74" i="2"/>
  <c r="Q72" i="2"/>
  <c r="Q71" i="2"/>
  <c r="Q70" i="2"/>
  <c r="Q69" i="2"/>
  <c r="Q68" i="2"/>
  <c r="Q67" i="2"/>
  <c r="Q66" i="2"/>
  <c r="Q64" i="2"/>
  <c r="Q63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39" i="2"/>
  <c r="Q38" i="2"/>
  <c r="Q37" i="2"/>
  <c r="Q36" i="2"/>
  <c r="Q35" i="2"/>
  <c r="Q34" i="2"/>
  <c r="Q33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19" i="2"/>
  <c r="B18" i="2"/>
  <c r="B17" i="2"/>
  <c r="B16" i="2"/>
  <c r="B15" i="2"/>
  <c r="B14" i="2"/>
  <c r="B13" i="2"/>
  <c r="B12" i="2"/>
  <c r="B11" i="2"/>
  <c r="B10" i="2"/>
  <c r="Q79" i="2" l="1"/>
  <c r="Q80" i="2" s="1"/>
  <c r="Q76" i="1" l="1"/>
  <c r="M76" i="1"/>
  <c r="B76" i="1"/>
  <c r="Q59" i="1"/>
  <c r="M59" i="1"/>
  <c r="B59" i="1"/>
  <c r="Q44" i="1"/>
  <c r="M44" i="1"/>
  <c r="B44" i="1"/>
  <c r="Q77" i="1" l="1"/>
  <c r="M77" i="1"/>
  <c r="M78" i="1"/>
  <c r="Q78" i="1"/>
  <c r="B77" i="1"/>
  <c r="B78" i="1"/>
  <c r="Q64" i="1"/>
  <c r="Q63" i="1"/>
  <c r="Q41" i="1"/>
  <c r="Q33" i="1"/>
  <c r="M12" i="1"/>
  <c r="M11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6" i="1"/>
  <c r="M45" i="1"/>
  <c r="M47" i="1"/>
  <c r="M48" i="1"/>
  <c r="M49" i="1"/>
  <c r="M50" i="1"/>
  <c r="M51" i="1"/>
  <c r="M52" i="1"/>
  <c r="M53" i="1"/>
  <c r="M54" i="1"/>
  <c r="M55" i="1"/>
  <c r="M56" i="1"/>
  <c r="M57" i="1"/>
  <c r="M58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8" i="1"/>
  <c r="B57" i="1"/>
  <c r="B56" i="1"/>
  <c r="B55" i="1"/>
  <c r="B54" i="1"/>
  <c r="B53" i="1"/>
  <c r="B52" i="1"/>
  <c r="B51" i="1"/>
  <c r="B50" i="1"/>
  <c r="B49" i="1"/>
  <c r="B48" i="1"/>
  <c r="B47" i="1"/>
  <c r="B45" i="1"/>
  <c r="B46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19" i="1"/>
  <c r="B18" i="1"/>
  <c r="B17" i="1"/>
  <c r="B16" i="1"/>
  <c r="B15" i="1"/>
  <c r="B14" i="1"/>
  <c r="B13" i="1"/>
  <c r="B11" i="1"/>
  <c r="B12" i="1"/>
  <c r="B10" i="1"/>
  <c r="M10" i="2" l="1"/>
  <c r="Q75" i="1" l="1"/>
  <c r="Q74" i="1"/>
  <c r="Q72" i="1"/>
  <c r="Q71" i="1"/>
  <c r="Q70" i="1"/>
  <c r="Q69" i="1"/>
  <c r="Q68" i="1"/>
  <c r="Q67" i="1"/>
  <c r="Q66" i="1"/>
  <c r="Q65" i="1"/>
  <c r="Q61" i="1"/>
  <c r="Q60" i="1"/>
  <c r="Q58" i="1"/>
  <c r="Q57" i="1"/>
  <c r="Q56" i="1"/>
  <c r="Q55" i="1"/>
  <c r="Q54" i="1"/>
  <c r="Q53" i="1"/>
  <c r="Q52" i="1"/>
  <c r="Q51" i="1"/>
  <c r="Q50" i="1"/>
  <c r="Q49" i="1"/>
  <c r="Q48" i="1"/>
  <c r="Q47" i="1"/>
  <c r="Q45" i="1"/>
  <c r="Q46" i="1"/>
  <c r="Q43" i="1"/>
  <c r="Q42" i="1"/>
  <c r="Q39" i="1"/>
  <c r="Q38" i="1"/>
  <c r="Q37" i="1"/>
  <c r="Q36" i="1"/>
  <c r="Q35" i="1"/>
  <c r="Q34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1" i="1"/>
  <c r="Q12" i="1"/>
  <c r="Q10" i="1" l="1"/>
  <c r="Q79" i="1" s="1"/>
  <c r="M10" i="1"/>
  <c r="Q80" i="1" l="1"/>
</calcChain>
</file>

<file path=xl/sharedStrings.xml><?xml version="1.0" encoding="utf-8"?>
<sst xmlns="http://schemas.openxmlformats.org/spreadsheetml/2006/main" count="1460" uniqueCount="417">
  <si>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</si>
  <si>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</si>
  <si>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</si>
  <si>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</si>
  <si>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</si>
  <si>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</si>
  <si>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</si>
  <si>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</si>
  <si>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</si>
  <si>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</si>
  <si>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TVS Diode</t>
  </si>
  <si>
    <t>Diode</t>
  </si>
  <si>
    <t>Fuse</t>
  </si>
  <si>
    <t>Ferrite Bead</t>
  </si>
  <si>
    <t>USB Connector</t>
  </si>
  <si>
    <t>JST Connector</t>
  </si>
  <si>
    <t>Connector</t>
  </si>
  <si>
    <t>Header</t>
  </si>
  <si>
    <t>Inductor</t>
  </si>
  <si>
    <t>LED</t>
  </si>
  <si>
    <t>RGB LED</t>
  </si>
  <si>
    <t>TEST POINT</t>
  </si>
  <si>
    <t>Mosfet</t>
  </si>
  <si>
    <t>Resistor</t>
  </si>
  <si>
    <t>Solder Bridge</t>
  </si>
  <si>
    <t>Switch</t>
  </si>
  <si>
    <t>IC</t>
  </si>
  <si>
    <t>Module</t>
  </si>
  <si>
    <t>Designator</t>
  </si>
  <si>
    <t>D1, D4</t>
  </si>
  <si>
    <t>D2</t>
  </si>
  <si>
    <t>D6, D7</t>
  </si>
  <si>
    <t>F1</t>
  </si>
  <si>
    <t>J1</t>
  </si>
  <si>
    <t>J2</t>
  </si>
  <si>
    <t>J3</t>
  </si>
  <si>
    <t>J4</t>
  </si>
  <si>
    <t>J5, J6</t>
  </si>
  <si>
    <t>L1</t>
  </si>
  <si>
    <t>L2</t>
  </si>
  <si>
    <t>LED1</t>
  </si>
  <si>
    <t>LED2</t>
  </si>
  <si>
    <t>LED3</t>
  </si>
  <si>
    <t>LED4</t>
  </si>
  <si>
    <t>Q1</t>
  </si>
  <si>
    <t>Q5, Q6, Q7, Q8</t>
  </si>
  <si>
    <t>R14</t>
  </si>
  <si>
    <t>R15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</si>
  <si>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</si>
  <si>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</si>
  <si>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</si>
  <si>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</si>
  <si>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</si>
  <si>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</si>
  <si>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</si>
  <si>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</si>
  <si>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</si>
  <si>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</si>
  <si>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10000PF 50V C0G/NPO 0603</t>
  </si>
  <si>
    <t>CAP CER 22UF 10V X5R 0603</t>
  </si>
  <si>
    <t>CAP ALUM POLY 330UF 20% 25V SMD</t>
  </si>
  <si>
    <t>CAP CER 1UF 25V X5R 0603</t>
  </si>
  <si>
    <t>CAP CER 10UF 25V X5R 0805</t>
  </si>
  <si>
    <t>CAP CER 0.1UF 25V X5R 0402</t>
  </si>
  <si>
    <t>CAP ALUM POLY 100UF 20% 25V SMD</t>
  </si>
  <si>
    <t>CAP TANT 100UF 20% 25V 2917</t>
  </si>
  <si>
    <t>CAP CER 4.7UF 16V X5R 0603</t>
  </si>
  <si>
    <t>CAP CER 33PF 25V C0G/NP0 0402</t>
  </si>
  <si>
    <t>CAP CER 200PF 50V X7R 0603</t>
  </si>
  <si>
    <t>DIODE ZENER 3.3V 200MW SOD323F</t>
  </si>
  <si>
    <t>TVS DIODE 12VWM 27VC SOD323</t>
  </si>
  <si>
    <t>0.5mA@40V 40V Single 3A 0.55V@3A SMA(DO-214AC) Schottky Barrier Diodes (SBD) ROHS</t>
  </si>
  <si>
    <t>DIODE GEN PURP 75V 150MA SOD323</t>
  </si>
  <si>
    <t>13.2V 2.6A 40A 800mW -40℃~+85℃ 5.2A 10mΩ 2.5s 50mΩ 1812 Resettable Fuses ROHS</t>
  </si>
  <si>
    <t>FERRITE BEAD 120 OHM 0603 1LN</t>
  </si>
  <si>
    <t>FERRITE BEAD 600 OHM 1210 1LN</t>
  </si>
  <si>
    <t>250mA 1 16 Female Type-C SMD USB Connectors ROHS</t>
  </si>
  <si>
    <t>Conn Shrouded Header (4 Sides) HDR 2 POS 2.5mm Solder ST Thru-Hole Box</t>
  </si>
  <si>
    <t>1x6P SH 1 1mm 6 SMD,P=1mm Wire To Board / Wire To Wire Connector ROHS</t>
  </si>
  <si>
    <t>1x2P 1 1.25mm Male pin 2 -40℃~+85℃ Surface Mount SMD,P=1.25mm Wire To Board / Wire To Wire Connector ROHS</t>
  </si>
  <si>
    <t>CONN HEADER VERT 2POS 2.54MM</t>
  </si>
  <si>
    <t>2.9A 22uH ±20% 66mΩ SMD,12x12x5mm Power Inductors ROHS</t>
  </si>
  <si>
    <t>5A 47uH ±20% 57.5mΩ SMD,13.8x12.6x6.5mm Power Inductors ROHS</t>
  </si>
  <si>
    <t>Emerald 0603 Light Emitting Diodes (LED) ROHS</t>
  </si>
  <si>
    <t>0603 Light Emitting Diodes (LED) ROHS</t>
  </si>
  <si>
    <t>White light 0603 Light Emitting Diodes (LED) ROHS</t>
  </si>
  <si>
    <t>20mA White Diffused -40℃~+85℃ RGB SMD5050 Light Emitting Diodes (LED) ROHS</t>
  </si>
  <si>
    <t>Test Point ON</t>
  </si>
  <si>
    <t>30V 7A 19mΩ 1.9W 1.1V@250uA P Channel SOT-23-3L MOSFETs ROHS</t>
  </si>
  <si>
    <t>30V 4.1A 60mΩ@10V,4.1A 350mW 3V@250uA P Channel SOT-23 MOSFETs ROHS</t>
  </si>
  <si>
    <t>40V 100mW 100@10mA,1V 200mA 300MHz 300mV@50mA,5mA NPN -55℃~+150℃@(Tj) SOT-723 Bipolar Transistors - BJT ROHS</t>
  </si>
  <si>
    <t>RES SMD 1K OHM 1% 1/10W 0603</t>
  </si>
  <si>
    <t>RES SMD 10K Ohm 1% 1/10W 0603</t>
  </si>
  <si>
    <t>250mW Thick Film Resistors 150V ±5% ±800ppm/℃ -55℃~+155℃ 82mΩ 0805 Chip Resistor - Surface Mount ROHS</t>
  </si>
  <si>
    <t>RES SMD 10 OHM 1% 1/10W 0603</t>
  </si>
  <si>
    <t>RES 0 OHM JUMPER 1/10W 0603</t>
  </si>
  <si>
    <t>RES SMD 47K OHM 0.1% 1/10W 0603</t>
  </si>
  <si>
    <t>RES 15K OHM 1% 1/10W 0603</t>
  </si>
  <si>
    <t>RES SMD 4.7K OHM 5% 1/10W 0603</t>
  </si>
  <si>
    <t>RES 24K OHM 1% 1/10W 0603</t>
  </si>
  <si>
    <t>RES 2.74K OHM 1% 1/10W 0603</t>
  </si>
  <si>
    <t>RES SMD 51R 100mW 0603</t>
  </si>
  <si>
    <t>RES SMD 0603 33 Ohm 1% 1/10W</t>
  </si>
  <si>
    <t>RES 91 OHM 1% 1/10W 0603</t>
  </si>
  <si>
    <t>RES 22 OHM 1% 1/10W 0603</t>
  </si>
  <si>
    <t>RES 2.2K OHM 1% 1/10W 0603</t>
  </si>
  <si>
    <t>RES 5.1K OHM 1% 1/10W 0603</t>
  </si>
  <si>
    <t>RES 73.2K OHM 1% 1/10W 0603</t>
  </si>
  <si>
    <t>Solder Bridge ON</t>
  </si>
  <si>
    <t>Lying 3A SPDT 125V 6.3mm 13.5mm 125V 6.6mm 3A PCPin 10000 Rectangular columnar -40℃~+85℃ Black Plugin Slide Switches ROHS</t>
  </si>
  <si>
    <t>No NO 50mA 4.5mm 100000 260gf 12V -30℃~+85℃ 4.5mm 4.3mm Black Round Button Brick nogging SPST SMD Tactile Switches ROHS</t>
  </si>
  <si>
    <t>-20℃~+85℃ SMDSplicing Black Rectangle button 50mA Surface Mount SPST 100MΩ 100000 250gf@±50gf 12V SMD Tactile Switches ROHS</t>
  </si>
  <si>
    <t>No NO 50mA 4.5mm 100000 160gf 12V -30℃~+85℃ 4.5mm 8mm Black Round Button Brick nogging SPST SMD Tactile Switches ROHS</t>
  </si>
  <si>
    <t>USB充电芯片 ESSOP-10 USB ICs ROHS</t>
  </si>
  <si>
    <t>TQFN-16-EP(4x4) Battery Management ICs ROHS</t>
  </si>
  <si>
    <t>IC REG LINEAR 3.3V 150MA SOT23-5</t>
  </si>
  <si>
    <t>NO boost converterType 1 Boost 60V 5V~40V 5A 220kHz TO-263-5 DC-DC Converters ROHS</t>
  </si>
  <si>
    <t>SMD,18x25.5mm WiFi Modules ROHS</t>
  </si>
  <si>
    <t>QFN-28-EP(4x4) ADC/DAC - Specialized ROHS</t>
  </si>
  <si>
    <t>IC AMP AUDIO 15W CLASS D 32UQFN</t>
  </si>
  <si>
    <t>Footprint</t>
  </si>
  <si>
    <t>Cap-0603</t>
  </si>
  <si>
    <t>25SVPF330M</t>
  </si>
  <si>
    <t>Cap-0805</t>
  </si>
  <si>
    <t>Cap-0402</t>
  </si>
  <si>
    <t>25SVPF100M</t>
  </si>
  <si>
    <t>Case-E</t>
  </si>
  <si>
    <t>SOD323F</t>
  </si>
  <si>
    <t>SOD-323</t>
  </si>
  <si>
    <t>SMA</t>
  </si>
  <si>
    <t>1812-FUSE</t>
  </si>
  <si>
    <t>IND-0603 (1608 Metric)</t>
  </si>
  <si>
    <t>IND-1210</t>
  </si>
  <si>
    <t>1.25-2PWB</t>
  </si>
  <si>
    <t>HDR1X2_</t>
  </si>
  <si>
    <t>LED-0603</t>
  </si>
  <si>
    <t>SMD5050</t>
  </si>
  <si>
    <t>SOT-23-3L_</t>
  </si>
  <si>
    <t>SOT-23</t>
  </si>
  <si>
    <t>SOT-723</t>
  </si>
  <si>
    <t>Res-0603</t>
  </si>
  <si>
    <t>RES-0805</t>
  </si>
  <si>
    <t>Solder Bridge 0402</t>
  </si>
  <si>
    <t>SS-12D11L5</t>
  </si>
  <si>
    <t>TS-1109S-C-B</t>
  </si>
  <si>
    <t>VSOF-5</t>
  </si>
  <si>
    <t>ESSOP-10</t>
  </si>
  <si>
    <t>TQFN-16-EP(4x4)_</t>
  </si>
  <si>
    <t>SOT-23-5</t>
  </si>
  <si>
    <t>TO-263-5 (D2PAK)</t>
  </si>
  <si>
    <t>38-SMD Module</t>
  </si>
  <si>
    <t>QFN-28-EP(4x4)</t>
  </si>
  <si>
    <t>32-QFN</t>
  </si>
  <si>
    <t>Manufacturer Part Number</t>
  </si>
  <si>
    <t>CC0603JRNPO9BN103</t>
  </si>
  <si>
    <t>CC0603MRX5R6BB226</t>
  </si>
  <si>
    <t>CC0603KRX5R8BB105</t>
  </si>
  <si>
    <t>CC0805KKX5R8BB106</t>
  </si>
  <si>
    <t>CC0402KRX5R8BB104</t>
  </si>
  <si>
    <t>TAJE107M025RNJ</t>
  </si>
  <si>
    <t>CC0603KRX5R7BB475</t>
  </si>
  <si>
    <t>GRM1555C1E330JA01D</t>
  </si>
  <si>
    <t>CC0603KRX7R9BB201</t>
  </si>
  <si>
    <t>MM3Z3V3B</t>
  </si>
  <si>
    <t>PESD12VS1UA,115</t>
  </si>
  <si>
    <t>SS34</t>
  </si>
  <si>
    <t>1N4148WS-7-F</t>
  </si>
  <si>
    <t>BSMD1812-260-13.2V</t>
  </si>
  <si>
    <t>BLM18SG121TN1D</t>
  </si>
  <si>
    <t>FBMH3225HM601NT</t>
  </si>
  <si>
    <t>TYPE-C-31-M-12</t>
  </si>
  <si>
    <t>B2B-XH-A(LF)(SN)</t>
  </si>
  <si>
    <t>C145963</t>
  </si>
  <si>
    <t>YPRH1204-220M</t>
  </si>
  <si>
    <t>YSPI1365-470M</t>
  </si>
  <si>
    <t>NCD0603G2</t>
  </si>
  <si>
    <t>NCD0603R3</t>
  </si>
  <si>
    <t>NCD0603W3</t>
  </si>
  <si>
    <t>MHP5050RGBDT</t>
  </si>
  <si>
    <t>G7P03L</t>
  </si>
  <si>
    <t>AO3407</t>
  </si>
  <si>
    <t>MMBT3904M</t>
  </si>
  <si>
    <t>RC0603FR-071KL</t>
  </si>
  <si>
    <t>RC0603FR-0710KL</t>
  </si>
  <si>
    <t>0805W4J082LT5E</t>
  </si>
  <si>
    <t>RC0603FR-0710RL</t>
  </si>
  <si>
    <t>RC0603JR-070RL</t>
  </si>
  <si>
    <t>RT0603BRD0747KL</t>
  </si>
  <si>
    <t>RC0603FR-0715KL</t>
  </si>
  <si>
    <t>RC0603JR-074K7L</t>
  </si>
  <si>
    <t>RC0603FR-0724KL</t>
  </si>
  <si>
    <t>RC0603FR-072K74L</t>
  </si>
  <si>
    <t>RC0603FR-0751RL</t>
  </si>
  <si>
    <t>RC0603FR-0733RL</t>
  </si>
  <si>
    <t>RC0603FR-0791RL</t>
  </si>
  <si>
    <t>RC0603FR-0722RL</t>
  </si>
  <si>
    <t>RC0603FR-072K2L</t>
  </si>
  <si>
    <t>RC0603FR-075K1L</t>
  </si>
  <si>
    <t>RC0603FR-0773K2L</t>
  </si>
  <si>
    <t>ST-1112RA-P</t>
  </si>
  <si>
    <t>TS-1109S-B-J</t>
  </si>
  <si>
    <t>CH224K</t>
  </si>
  <si>
    <t>TP5100</t>
  </si>
  <si>
    <t>TPS70933DBVR</t>
  </si>
  <si>
    <t>C73018</t>
  </si>
  <si>
    <t>ESP32-WROOM-32E-N8</t>
  </si>
  <si>
    <t>ES8388</t>
  </si>
  <si>
    <t>PAM8006ATR</t>
  </si>
  <si>
    <t>Manufacturer</t>
  </si>
  <si>
    <t>Yageo</t>
  </si>
  <si>
    <t>Panasonic</t>
  </si>
  <si>
    <t>Kyocera AVX</t>
  </si>
  <si>
    <t>Murata</t>
  </si>
  <si>
    <t>ON Semiconductor / Fairchild</t>
  </si>
  <si>
    <t>Nexperia</t>
  </si>
  <si>
    <t>MDD</t>
  </si>
  <si>
    <t>Diodes</t>
  </si>
  <si>
    <t>BHFUSE</t>
  </si>
  <si>
    <t>Taiyo Yuden</t>
  </si>
  <si>
    <t>Korean Hroparts Elec</t>
  </si>
  <si>
    <t>JST</t>
  </si>
  <si>
    <t>BOOMELE</t>
  </si>
  <si>
    <t>DEALON</t>
  </si>
  <si>
    <t>Wurth Electronics</t>
  </si>
  <si>
    <t>YJYCOIN</t>
  </si>
  <si>
    <t>Foshan NationStar Optoelectronics</t>
  </si>
  <si>
    <t>MEIHUA</t>
  </si>
  <si>
    <t>GoFord</t>
  </si>
  <si>
    <t>Guangdong Hottech</t>
  </si>
  <si>
    <t>TECH PUBLIC</t>
  </si>
  <si>
    <t>UNI-ROYAL(Uniroyal Elec)</t>
  </si>
  <si>
    <t>XKB Connectivity</t>
  </si>
  <si>
    <t>RI SHENG</t>
  </si>
  <si>
    <t>Rohm</t>
  </si>
  <si>
    <t>WCH(Jiangsu Qin Heng)</t>
  </si>
  <si>
    <t>Texas Instruments</t>
  </si>
  <si>
    <t>TOPPOWER(Nanjing Extension Microelectronics)</t>
  </si>
  <si>
    <t>XLSEMI</t>
  </si>
  <si>
    <t>Espressif Systems</t>
  </si>
  <si>
    <t>Everest-semi</t>
  </si>
  <si>
    <t>LCSC Part Number</t>
  </si>
  <si>
    <t>C389113</t>
  </si>
  <si>
    <t>C109447</t>
  </si>
  <si>
    <t>C178367</t>
  </si>
  <si>
    <t>C14664</t>
  </si>
  <si>
    <t>C89831</t>
  </si>
  <si>
    <t>C106256</t>
  </si>
  <si>
    <t>C136279</t>
  </si>
  <si>
    <t>C7230</t>
  </si>
  <si>
    <t>C277476</t>
  </si>
  <si>
    <t>C107080</t>
  </si>
  <si>
    <t>C2978865</t>
  </si>
  <si>
    <t>C131084</t>
  </si>
  <si>
    <t>C8678</t>
  </si>
  <si>
    <t>C60580</t>
  </si>
  <si>
    <t>C883159</t>
  </si>
  <si>
    <t>C113030</t>
  </si>
  <si>
    <t>C268004</t>
  </si>
  <si>
    <t>C165948</t>
  </si>
  <si>
    <t>C158012</t>
  </si>
  <si>
    <t>C2905009</t>
  </si>
  <si>
    <t>C338845</t>
  </si>
  <si>
    <t>C497913</t>
  </si>
  <si>
    <t>C87326</t>
  </si>
  <si>
    <t>C3151730</t>
  </si>
  <si>
    <t>C158100</t>
  </si>
  <si>
    <t>C409780</t>
  </si>
  <si>
    <t>C840062</t>
  </si>
  <si>
    <t>C181093</t>
  </si>
  <si>
    <t>C2923360</t>
  </si>
  <si>
    <t>C22548</t>
  </si>
  <si>
    <t>C98220</t>
  </si>
  <si>
    <t>C2767643</t>
  </si>
  <si>
    <t>C109318</t>
  </si>
  <si>
    <t>C326725</t>
  </si>
  <si>
    <t>C114661</t>
  </si>
  <si>
    <t>C105428</t>
  </si>
  <si>
    <t>C137760</t>
  </si>
  <si>
    <t>C185342</t>
  </si>
  <si>
    <t>C114628</t>
  </si>
  <si>
    <t>C108661</t>
  </si>
  <si>
    <t>C137670</t>
  </si>
  <si>
    <t>C107701</t>
  </si>
  <si>
    <t>C114662</t>
  </si>
  <si>
    <t>C105580</t>
  </si>
  <si>
    <t>C163420</t>
  </si>
  <si>
    <t>C319010</t>
  </si>
  <si>
    <t>C381037</t>
  </si>
  <si>
    <t>C589180</t>
  </si>
  <si>
    <t>C480323</t>
  </si>
  <si>
    <t>C970725</t>
  </si>
  <si>
    <t>C379389</t>
  </si>
  <si>
    <t>C89347</t>
  </si>
  <si>
    <t>XL6019E1</t>
  </si>
  <si>
    <t>C701342</t>
  </si>
  <si>
    <t>C365736</t>
  </si>
  <si>
    <t>C167118</t>
  </si>
  <si>
    <t>10nF</t>
  </si>
  <si>
    <t>22uF</t>
  </si>
  <si>
    <t>330uF</t>
  </si>
  <si>
    <t>1uF</t>
  </si>
  <si>
    <t>100nF</t>
  </si>
  <si>
    <t>10uF</t>
  </si>
  <si>
    <t>100uF</t>
  </si>
  <si>
    <t>4.7uF</t>
  </si>
  <si>
    <t>33pF</t>
  </si>
  <si>
    <t>200pF</t>
  </si>
  <si>
    <t>DNP</t>
  </si>
  <si>
    <t>22UH</t>
  </si>
  <si>
    <t>47uH</t>
  </si>
  <si>
    <t>1K</t>
  </si>
  <si>
    <t>10K</t>
  </si>
  <si>
    <t>82mΩ</t>
  </si>
  <si>
    <t>10R</t>
  </si>
  <si>
    <t>0R</t>
  </si>
  <si>
    <t>47K</t>
  </si>
  <si>
    <t>15K</t>
  </si>
  <si>
    <t>4.7K</t>
  </si>
  <si>
    <t>24K</t>
  </si>
  <si>
    <t>2.74K</t>
  </si>
  <si>
    <t>51R</t>
  </si>
  <si>
    <t>33R</t>
  </si>
  <si>
    <t>91R</t>
  </si>
  <si>
    <t>22R</t>
  </si>
  <si>
    <t>2.2K</t>
  </si>
  <si>
    <t>5.1K</t>
  </si>
  <si>
    <t>73.2K</t>
  </si>
  <si>
    <t>Quantity</t>
  </si>
  <si>
    <t>Alternate Part Number</t>
  </si>
  <si>
    <t>Quantity (5 Boards)</t>
  </si>
  <si>
    <t>MOQ (5 Boards)</t>
  </si>
  <si>
    <t>Links</t>
  </si>
  <si>
    <t>Total Cost (5 Boards)</t>
  </si>
  <si>
    <t>Remarks</t>
  </si>
  <si>
    <t>Reviewer Remarks</t>
  </si>
  <si>
    <t>-</t>
  </si>
  <si>
    <t>Value</t>
  </si>
  <si>
    <t>Custom</t>
  </si>
  <si>
    <t>C95177</t>
  </si>
  <si>
    <t>Bill of Materials for Project [IoT-Speaker]</t>
  </si>
  <si>
    <t>IoT-Speaker</t>
  </si>
  <si>
    <t>LCSC</t>
  </si>
  <si>
    <t>DO NOT PLACE</t>
  </si>
  <si>
    <t>C387979</t>
  </si>
  <si>
    <t>0402N330K250CT</t>
  </si>
  <si>
    <t>DZ254R-11-02-63</t>
  </si>
  <si>
    <t>C2935908</t>
  </si>
  <si>
    <t>Quantity (2 Boards)</t>
  </si>
  <si>
    <t>MOQ (2 Boards)</t>
  </si>
  <si>
    <t>Unit Cost (2 Boards)</t>
  </si>
  <si>
    <t>C7, C59</t>
  </si>
  <si>
    <t>C10, C11</t>
  </si>
  <si>
    <t>C14, C35, C36, C47, C49, C51, C53, C55, C56, C57, C58, C60, C63, C64, C67, C69, C70, C72, C73, C75, C78, C79</t>
  </si>
  <si>
    <t>C16</t>
  </si>
  <si>
    <t>C23, C28, C31, C33, C39, C45</t>
  </si>
  <si>
    <t>C25, C26, C27</t>
  </si>
  <si>
    <t>C48, C54, C65, C71</t>
  </si>
  <si>
    <t>C74</t>
  </si>
  <si>
    <t>CAP CER 100PF 50V C0G/NPO 0603</t>
  </si>
  <si>
    <t>CC0603JRNPO9BN101</t>
  </si>
  <si>
    <t>C14665</t>
  </si>
  <si>
    <t>100pF</t>
  </si>
  <si>
    <t>C76</t>
  </si>
  <si>
    <t>R3, R7, R12, R42</t>
  </si>
  <si>
    <t>R9</t>
  </si>
  <si>
    <t>R10</t>
  </si>
  <si>
    <t>R11</t>
  </si>
  <si>
    <t>R16, R19, R21, R23, R28, R29</t>
  </si>
  <si>
    <t>R22</t>
  </si>
  <si>
    <t>R30, R31</t>
  </si>
  <si>
    <t>R32</t>
  </si>
  <si>
    <t>R33, R34, R35, R36, R37</t>
  </si>
  <si>
    <t>R38, R39, R40, R41, R55</t>
  </si>
  <si>
    <t>R43, R45</t>
  </si>
  <si>
    <t>R48, R49, R50, R51</t>
  </si>
  <si>
    <t>R53</t>
  </si>
  <si>
    <t>SW1, SW2</t>
  </si>
  <si>
    <t>SW3</t>
  </si>
  <si>
    <t>SW8</t>
  </si>
  <si>
    <t>SW4, SW5, SW6, SW7</t>
  </si>
  <si>
    <t>IC SUPERVISOR 1 CHANNEL 5VSOF</t>
  </si>
  <si>
    <t>BD4860FVE-TR</t>
  </si>
  <si>
    <t>SPX3819 Series 3.3 V 500 mA Fixed Output SMT LDO Regulator - SOT-23-5</t>
  </si>
  <si>
    <t>SPX3819M5-L-3-3/TR</t>
  </si>
  <si>
    <t>MaxLinear</t>
  </si>
  <si>
    <t>C509824</t>
  </si>
  <si>
    <t>C9055</t>
  </si>
  <si>
    <t>C42, C44 , C80</t>
  </si>
  <si>
    <t>SB1, SB2, SB4, SB5, SB6, SB7, SB8, SB9, SB10, SB11</t>
  </si>
  <si>
    <t>Battery</t>
  </si>
  <si>
    <t>Peripheral</t>
  </si>
  <si>
    <t>Adapter</t>
  </si>
  <si>
    <t>20W PD Charger Quick Charge 4.0 3.0 USB Type C Wall Adapter QC Fast Charging</t>
  </si>
  <si>
    <t>Aliexpress</t>
  </si>
  <si>
    <t>104050 3.7V 2600mAh Li-polymer Battery For GPS MP3 Bluetooth Headset Power Bank Rechargeable Lithium Batteria</t>
  </si>
  <si>
    <t>C2, C3, C4, C6, C8, C9, C12, C13, C15, C17, C18, C19, C20, C21, C22, C24, C29, C30, C32, C34, C38, C40, C41, C43, C46, C62, C77, C81</t>
  </si>
  <si>
    <t>C1, C5, C37, C50, C52, C61, C66, C68</t>
  </si>
  <si>
    <t>D3, D5, D8</t>
  </si>
  <si>
    <t>FB1, FB2, FB7</t>
  </si>
  <si>
    <t>FB3, FB4, FB5, FB6</t>
  </si>
  <si>
    <t>P1, P2, P3, P5, P6, P7, P8, P9, P10, P11, P12, P13, P14, P15</t>
  </si>
  <si>
    <t>Q2, Q4</t>
  </si>
  <si>
    <t>R1</t>
  </si>
  <si>
    <t>RES SMD 470K OHM 5% 1/10W 0603</t>
  </si>
  <si>
    <t>RES-0603</t>
  </si>
  <si>
    <t>AC0603JR-07470KL</t>
  </si>
  <si>
    <t>C144601</t>
  </si>
  <si>
    <t>470K</t>
  </si>
  <si>
    <t>R4, R8, R13, R17, R18, R20, R24, R25, R26, R27, R46, R47, R54</t>
  </si>
  <si>
    <t>R44, R52</t>
  </si>
  <si>
    <t>U10</t>
  </si>
  <si>
    <t>IC OR CTRLR SRC SELECT TSOT23-6</t>
  </si>
  <si>
    <t>SOT-23-6</t>
  </si>
  <si>
    <t>LTC4412IS6#TRPBF</t>
  </si>
  <si>
    <t>Analog Devices / Linear Technology</t>
  </si>
  <si>
    <t>C521306</t>
  </si>
  <si>
    <t>NON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</si>
</sst>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z val="12"/>
      <color rgb="FF333333"/>
      <name val="Arial"/>
      <family val="2"/>
    </font>
    <font>
      <strike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9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165" fontId="22" fillId="2" borderId="17" xfId="0" applyNumberFormat="1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6" fillId="0" borderId="0" xfId="0" applyFont="1"/>
    <xf numFmtId="0" fontId="0" fillId="5" borderId="0" xfId="0" applyFill="1"/>
    <xf numFmtId="0" fontId="26" fillId="5" borderId="0" xfId="0" applyFont="1" applyFill="1" applyAlignment="1">
      <alignment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166" fontId="19" fillId="2" borderId="24" xfId="0" applyNumberFormat="1" applyFont="1" applyFill="1" applyBorder="1" applyAlignment="1">
      <alignment horizontal="center" vertical="center" wrapText="1"/>
    </xf>
    <xf numFmtId="166" fontId="19" fillId="2" borderId="16" xfId="0" applyNumberFormat="1" applyFont="1" applyFill="1" applyBorder="1" applyAlignment="1">
      <alignment horizontal="center" vertical="center" wrapText="1"/>
    </xf>
    <xf numFmtId="0" fontId="27" fillId="2" borderId="17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5" fillId="3" borderId="21" xfId="0" applyNumberFormat="1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74075" y="620017"/>
          <a:ext cx="1714500" cy="11040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ftikhar%20Ahmed\OneDrive\Desktop\IoT-Spea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9">
          <cell r="B9" t="str">
            <v>#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OSFETs_GOFORD-G7P03L_C840062.html" TargetMode="External"/><Relationship Id="rId21" Type="http://schemas.openxmlformats.org/officeDocument/2006/relationships/hyperlink" Target="https://www.lcsc.com/product-detail/Power-Inductors_YJYCOIN-YSPI1365-470M_C497913.html" TargetMode="External"/><Relationship Id="rId34" Type="http://schemas.openxmlformats.org/officeDocument/2006/relationships/hyperlink" Target="https://www.lcsc.com/product-detail/Chip-Resistor-Surface-Mount_YAGEO-RC0603FR-0715KL_C114661.html" TargetMode="External"/><Relationship Id="rId42" Type="http://schemas.openxmlformats.org/officeDocument/2006/relationships/hyperlink" Target="https://www.lcsc.com/product-detail/Chip-Resistor-Surface-Mount_YAGEO-RC0603FR-072K2L_C114662.html" TargetMode="External"/><Relationship Id="rId47" Type="http://schemas.openxmlformats.org/officeDocument/2006/relationships/hyperlink" Target="https://www.lcsc.com/product-detail/Tactile-Switches_RI-SHENG-ST-1112RA-P_C589180.html" TargetMode="External"/><Relationship Id="rId50" Type="http://schemas.openxmlformats.org/officeDocument/2006/relationships/hyperlink" Target="https://www.lcsc.com/product-detail/Battery-Management-ICs_TOPPOWER-Nanjing-Extension-Microelectronics-TP5100_C379389.html" TargetMode="External"/><Relationship Id="rId55" Type="http://schemas.openxmlformats.org/officeDocument/2006/relationships/hyperlink" Target="https://www.lcsc.com/product-detail/DC-DC-Converters_XLSEMI-XL6019E1_C73018.html" TargetMode="External"/><Relationship Id="rId63" Type="http://schemas.openxmlformats.org/officeDocument/2006/relationships/hyperlink" Target="https://www.aliexpress.com/item/1005004870831543.html" TargetMode="External"/><Relationship Id="rId68" Type="http://schemas.openxmlformats.org/officeDocument/2006/relationships/drawing" Target="../drawings/drawing1.xml"/><Relationship Id="rId7" Type="http://schemas.openxmlformats.org/officeDocument/2006/relationships/hyperlink" Target="https://www.lcsc.com/product-detail/Tantalum-Capacitors_Kyocera-AVX-TAJE107M025RNJ_C7230.html" TargetMode="External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Ferrite-Beads_Taiyo-Yuden-FBMH3225HM601NT_C268004.html" TargetMode="External"/><Relationship Id="rId29" Type="http://schemas.openxmlformats.org/officeDocument/2006/relationships/hyperlink" Target="https://www.lcsc.com/product-detail/Chip-Resistor-Surface-Mount_YAGEO-RC0603FR-071KL_C22548.html" TargetMode="External"/><Relationship Id="rId11" Type="http://schemas.openxmlformats.org/officeDocument/2006/relationships/hyperlink" Target="https://www.lcsc.com/product-detail/ESD-Protection-Devices_Nexperia-PESD12VS1UA-115_C131084.html" TargetMode="External"/><Relationship Id="rId24" Type="http://schemas.openxmlformats.org/officeDocument/2006/relationships/hyperlink" Target="https://www.lcsc.com/product-detail/Light-Emitting-Diodes-LED_Foshan-NationStar-Optoelectronics-NCD0603W3_C158100.html" TargetMode="External"/><Relationship Id="rId32" Type="http://schemas.openxmlformats.org/officeDocument/2006/relationships/hyperlink" Target="https://www.lcsc.com/product-detail/Chip-Resistor-Surface-Mount_YAGEO-RC0603JR-070RL_C95177.html" TargetMode="External"/><Relationship Id="rId37" Type="http://schemas.openxmlformats.org/officeDocument/2006/relationships/hyperlink" Target="https://www.lcsc.com/product-detail/Chip-Resistor-Surface-Mount_YAGEO-RC0603FR-072K74L_C185342.html" TargetMode="External"/><Relationship Id="rId40" Type="http://schemas.openxmlformats.org/officeDocument/2006/relationships/hyperlink" Target="https://www.lcsc.com/product-detail/Chip-Resistor-Surface-Mount_YAGEO-RC0603FR-0791RL_C137670.html" TargetMode="External"/><Relationship Id="rId45" Type="http://schemas.openxmlformats.org/officeDocument/2006/relationships/hyperlink" Target="https://www.lcsc.com/product-detail/Slide-Switches_XKB-Connectivity-SS-12D11L5_C319010.html" TargetMode="External"/><Relationship Id="rId53" Type="http://schemas.openxmlformats.org/officeDocument/2006/relationships/hyperlink" Target="https://www.lcsc.com/product-detail/ADC-DAC-Specialized_Everest-semi-Everest-Semiconductor-ES8388_C365736.html" TargetMode="External"/><Relationship Id="rId58" Type="http://schemas.openxmlformats.org/officeDocument/2006/relationships/hyperlink" Target="https://www.lcsc.com/product-detail/Multilayer-Ceramic-Capacitors-MLCC-SMD-SMT_YAGEO-CC0603JRNPO9BN101_C14665.html" TargetMode="External"/><Relationship Id="rId66" Type="http://schemas.openxmlformats.org/officeDocument/2006/relationships/hyperlink" Target="https://www.lcsc.com/product-detail/Gate-Drive-ICs_Analog-Devices-LTC4412IS6-TRPBF_C521306.html" TargetMode="External"/><Relationship Id="rId5" Type="http://schemas.openxmlformats.org/officeDocument/2006/relationships/hyperlink" Target="https://www.lcsc.com/product-detail/Multilayer-Ceramic-Capacitors-MLCC-SMD-SMT_YAGEO-CC0402KRX5R8BB104_C106256.html" TargetMode="External"/><Relationship Id="rId61" Type="http://schemas.openxmlformats.org/officeDocument/2006/relationships/hyperlink" Target="https://www.lcsc.com/product-detail/Multilayer-Ceramic-Capacitors-MLCC-SMD-SMT_YAGEO-CC0603KRX5R8BB105_C14664.html" TargetMode="External"/><Relationship Id="rId19" Type="http://schemas.openxmlformats.org/officeDocument/2006/relationships/hyperlink" Target="https://www.lcsc.com/product-detail/Wire-To-Board-Wire-To-Wire-Connector_BOOMELE-Boom-Precision-Elec-C145963_C145963.html" TargetMode="External"/><Relationship Id="rId14" Type="http://schemas.openxmlformats.org/officeDocument/2006/relationships/hyperlink" Target="https://www.lcsc.com/product-detail/Resettable-Fuses_BHFUSE-BSMD1812-260-13-2V_C883159.html" TargetMode="External"/><Relationship Id="rId22" Type="http://schemas.openxmlformats.org/officeDocument/2006/relationships/hyperlink" Target="https://www.lcsc.com/product-detail/Light-Emitting-Diodes-LED_Foshan-NationStar-Optoelectronics-NCD0603G2_C87326.html" TargetMode="External"/><Relationship Id="rId27" Type="http://schemas.openxmlformats.org/officeDocument/2006/relationships/hyperlink" Target="https://www.lcsc.com/product-detail/MOSFETs_Guangdong-Hottech-AO3407_C181093.html" TargetMode="External"/><Relationship Id="rId30" Type="http://schemas.openxmlformats.org/officeDocument/2006/relationships/hyperlink" Target="https://www.lcsc.com/product-detail/Chip-Resistor-Surface-Mount_YAGEO-RC0603FR-0710KL_C98220.html" TargetMode="External"/><Relationship Id="rId35" Type="http://schemas.openxmlformats.org/officeDocument/2006/relationships/hyperlink" Target="https://www.lcsc.com/product-detail/Chip-Resistor-Surface-Mount_YAGEO-RC0603JR-074K7L_C105428.html" TargetMode="External"/><Relationship Id="rId43" Type="http://schemas.openxmlformats.org/officeDocument/2006/relationships/hyperlink" Target="https://www.lcsc.com/product-detail/Chip-Resistor-Surface-Mount_YAGEO-RC0603FR-075K1L_C105580.html" TargetMode="External"/><Relationship Id="rId48" Type="http://schemas.openxmlformats.org/officeDocument/2006/relationships/hyperlink" Target="https://www.lcsc.com/product-detail/Tactile-Switches_XKB-Connectivity-TS-1109S-B-J_C480323.html" TargetMode="External"/><Relationship Id="rId56" Type="http://schemas.openxmlformats.org/officeDocument/2006/relationships/hyperlink" Target="https://www.lcsc.com/product-detail/Multilayer-Ceramic-Capacitors-MLCC-SMD-SMT_Walsin-Tech-Corp-0402N330K250CT_C387979.html" TargetMode="External"/><Relationship Id="rId64" Type="http://schemas.openxmlformats.org/officeDocument/2006/relationships/hyperlink" Target="https://www.lcsc.com/product-detail/Chip-Resistor-Surface-Mount_YAGEO-AC0603JR-07470KL_C144601.html" TargetMode="External"/><Relationship Id="rId8" Type="http://schemas.openxmlformats.org/officeDocument/2006/relationships/hyperlink" Target="https://www.lcsc.com/product-detail/Multilayer-Ceramic-Capacitors-MLCC-SMD-SMT_YAGEO-CC0603KRX5R7BB475_C277476.html" TargetMode="External"/><Relationship Id="rId51" Type="http://schemas.openxmlformats.org/officeDocument/2006/relationships/hyperlink" Target="https://www.lcsc.com/product-detail/Linear-Voltage-Regulators-LDO_Texas-Instruments-TPS70933DBVR_C89347.html" TargetMode="External"/><Relationship Id="rId3" Type="http://schemas.openxmlformats.org/officeDocument/2006/relationships/hyperlink" Target="https://www.lcsc.com/product-detail/Solid-Capacitors_PANASONIC-25SVPF330M_C178367.html" TargetMode="External"/><Relationship Id="rId12" Type="http://schemas.openxmlformats.org/officeDocument/2006/relationships/hyperlink" Target="https://www.lcsc.com/product-detail/Schottky-Barrier-Diodes-SBD_MDD-Microdiode-Electronics-SS34_C8678.html" TargetMode="External"/><Relationship Id="rId17" Type="http://schemas.openxmlformats.org/officeDocument/2006/relationships/hyperlink" Target="https://www.lcsc.com/product-detail/USB-Connectors_Korean-Hroparts-Elec-TYPE-C-31-M-12_C165948.html" TargetMode="External"/><Relationship Id="rId25" Type="http://schemas.openxmlformats.org/officeDocument/2006/relationships/hyperlink" Target="https://www.lcsc.com/product-detail/Light-Emitting-Diodes-LED_MEIHUA-MHP5050RGBDT_C409780.html" TargetMode="External"/><Relationship Id="rId33" Type="http://schemas.openxmlformats.org/officeDocument/2006/relationships/hyperlink" Target="https://www.lcsc.com/product-detail/Chip-Resistor-Surface-Mount_YAGEO-RT0603BRD0747KL_C326725.html" TargetMode="External"/><Relationship Id="rId38" Type="http://schemas.openxmlformats.org/officeDocument/2006/relationships/hyperlink" Target="https://www.lcsc.com/product-detail/Chip-Resistor-Surface-Mount_YAGEO-RC0603FR-0751RL_C114628.html" TargetMode="External"/><Relationship Id="rId46" Type="http://schemas.openxmlformats.org/officeDocument/2006/relationships/hyperlink" Target="https://www.lcsc.com/product-detail/Tactile-Switches_XKB-Connectivity-TS-1109S-C-B_C381037.html" TargetMode="External"/><Relationship Id="rId59" Type="http://schemas.openxmlformats.org/officeDocument/2006/relationships/hyperlink" Target="https://www.lcsc.com/product-detail/Monitors-Reset-Circuits_ROHM-Semicon-BD4860FVE-TR_C509824.html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www.lcsc.com/product-detail/Power-Inductors_YJYCOIN-YPRH1204-220M_C338845.html" TargetMode="External"/><Relationship Id="rId41" Type="http://schemas.openxmlformats.org/officeDocument/2006/relationships/hyperlink" Target="https://www.lcsc.com/product-detail/Chip-Resistor-Surface-Mount_YAGEO-RC0603FR-0722RL_C107701.html" TargetMode="External"/><Relationship Id="rId54" Type="http://schemas.openxmlformats.org/officeDocument/2006/relationships/hyperlink" Target="https://www.lcsc.com/product-detail/Audio-Power-OpAmps_Diodes-Incorporated-PAM8006ATR_C167118.html" TargetMode="External"/><Relationship Id="rId62" Type="http://schemas.openxmlformats.org/officeDocument/2006/relationships/hyperlink" Target="https://www.aliexpress.com/item/1005004577332079.html?gatewayAdapt=glo2pol" TargetMode="Externa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Solid-Capacitors_PANASONIC-25SVPF100M_C136279.html" TargetMode="External"/><Relationship Id="rId15" Type="http://schemas.openxmlformats.org/officeDocument/2006/relationships/hyperlink" Target="https://www.lcsc.com/product-detail/Ferrite-Beads_Murata-Electronics-BLM18SG121TN1D_C113030.html" TargetMode="External"/><Relationship Id="rId23" Type="http://schemas.openxmlformats.org/officeDocument/2006/relationships/hyperlink" Target="https://www.lcsc.com/product-detail/Light-Emitting-Diodes-LED_Foshan-NationStar-Optoelectronics-NCD0603R3_C3151730.html" TargetMode="External"/><Relationship Id="rId28" Type="http://schemas.openxmlformats.org/officeDocument/2006/relationships/hyperlink" Target="https://www.lcsc.com/product-detail/Bipolar-Transistors-BJT_TECH-PUBLIC-MMBT3904M_C2923360.html" TargetMode="External"/><Relationship Id="rId36" Type="http://schemas.openxmlformats.org/officeDocument/2006/relationships/hyperlink" Target="https://www.lcsc.com/product-detail/Chip-Resistor-Surface-Mount_YAGEO-RC0603FR-0724KL_C137760.html" TargetMode="External"/><Relationship Id="rId49" Type="http://schemas.openxmlformats.org/officeDocument/2006/relationships/hyperlink" Target="https://www.lcsc.com/product-detail/USB-ICs_WCH-Jiangsu-Qin-Heng-CH224K_C970725.html" TargetMode="External"/><Relationship Id="rId57" Type="http://schemas.openxmlformats.org/officeDocument/2006/relationships/hyperlink" Target="https://www.lcsc.com/product-detail/span-style-background-color-ff0-Pin-span-Headers_DEALON-DZ254R-11-02-63_C2935908.html" TargetMode="External"/><Relationship Id="rId10" Type="http://schemas.openxmlformats.org/officeDocument/2006/relationships/hyperlink" Target="https://www.lcsc.com/product-detail/Zener-Diodes_EIC-Semicon-MM3Z3V3B_C2978865.html" TargetMode="External"/><Relationship Id="rId31" Type="http://schemas.openxmlformats.org/officeDocument/2006/relationships/hyperlink" Target="https://www.lcsc.com/product-detail/Chip-Resistor-Surface-Mount_UNI-ROYAL-Uniroyal-Elec-0805W4J082LT5E_C2767643.html" TargetMode="External"/><Relationship Id="rId44" Type="http://schemas.openxmlformats.org/officeDocument/2006/relationships/hyperlink" Target="https://www.lcsc.com/product-detail/Chip-Resistor-Surface-Mount_YAGEO-RC0603FR-0773K2L_C163420.html" TargetMode="External"/><Relationship Id="rId52" Type="http://schemas.openxmlformats.org/officeDocument/2006/relationships/hyperlink" Target="https://www.lcsc.com/product-detail/WiFi-Modules_Espressif-Systems-ESP32-WROOM-32E-N8_C701342.html" TargetMode="External"/><Relationship Id="rId60" Type="http://schemas.openxmlformats.org/officeDocument/2006/relationships/hyperlink" Target="https://www.lcsc.com/product-detail/Linear-Voltage-Regulators-LDO_MaxLinear-SPX3819M5-L-3-3-TR_C9055.html" TargetMode="External"/><Relationship Id="rId65" Type="http://schemas.openxmlformats.org/officeDocument/2006/relationships/hyperlink" Target="https://www.lcsc.com/product-detail/Chip-Resistor-Surface-Mount_YAGEO-RC0603FR-0710RL_C109318.html" TargetMode="External"/><Relationship Id="rId4" Type="http://schemas.openxmlformats.org/officeDocument/2006/relationships/hyperlink" Target="https://www.lcsc.com/product-detail/Multilayer-Ceramic-Capacitors-MLCC-SMD-SMT_YAGEO-CC0805KKX5R8BB106_C89831.html" TargetMode="External"/><Relationship Id="rId9" Type="http://schemas.openxmlformats.org/officeDocument/2006/relationships/hyperlink" Target="https://www.lcsc.com/product-detail/Multilayer-Ceramic-Capacitors-MLCC-SMD-SMT_YAGEO-CC0603KRX7R9BB201_C107080.html" TargetMode="External"/><Relationship Id="rId13" Type="http://schemas.openxmlformats.org/officeDocument/2006/relationships/hyperlink" Target="https://www.lcsc.com/product-detail/Switching-Diode_Diodes-Incorporated-1N4148WS-7-F_C60580.html" TargetMode="External"/><Relationship Id="rId18" Type="http://schemas.openxmlformats.org/officeDocument/2006/relationships/hyperlink" Target="https://www.lcsc.com/product-detail/Wire-To-Board-Wire-To-Wire-Connector_JST-Sales-America-B2B-XH-A-LF-SN_C158012.html" TargetMode="External"/><Relationship Id="rId39" Type="http://schemas.openxmlformats.org/officeDocument/2006/relationships/hyperlink" Target="https://www.lcsc.com/product-detail/Chip-Resistor-Surface-Mount_YAGEO-RC0603FR-0733RL_C108661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OSFETs_GOFORD-G7P03L_C840062.html" TargetMode="External"/><Relationship Id="rId21" Type="http://schemas.openxmlformats.org/officeDocument/2006/relationships/hyperlink" Target="https://www.lcsc.com/product-detail/Power-Inductors_YJYCOIN-YSPI1365-470M_C497913.html" TargetMode="External"/><Relationship Id="rId34" Type="http://schemas.openxmlformats.org/officeDocument/2006/relationships/hyperlink" Target="https://www.lcsc.com/product-detail/Chip-Resistor-Surface-Mount_YAGEO-RC0603FR-0715KL_C114661.html" TargetMode="External"/><Relationship Id="rId42" Type="http://schemas.openxmlformats.org/officeDocument/2006/relationships/hyperlink" Target="https://www.lcsc.com/product-detail/Chip-Resistor-Surface-Mount_YAGEO-RC0603FR-072K2L_C114662.html" TargetMode="External"/><Relationship Id="rId47" Type="http://schemas.openxmlformats.org/officeDocument/2006/relationships/hyperlink" Target="https://www.lcsc.com/product-detail/Tactile-Switches_RI-SHENG-ST-1112RA-P_C589180.html" TargetMode="External"/><Relationship Id="rId50" Type="http://schemas.openxmlformats.org/officeDocument/2006/relationships/hyperlink" Target="https://www.lcsc.com/product-detail/Battery-Management-ICs_TOPPOWER-Nanjing-Extension-Microelectronics-TP5100_C379389.html" TargetMode="External"/><Relationship Id="rId55" Type="http://schemas.openxmlformats.org/officeDocument/2006/relationships/hyperlink" Target="https://www.lcsc.com/product-detail/DC-DC-Converters_XLSEMI-XL6019E1_C73018.html" TargetMode="External"/><Relationship Id="rId63" Type="http://schemas.openxmlformats.org/officeDocument/2006/relationships/hyperlink" Target="https://www.aliexpress.com/item/1005004870831543.html" TargetMode="External"/><Relationship Id="rId68" Type="http://schemas.openxmlformats.org/officeDocument/2006/relationships/drawing" Target="../drawings/drawing2.xml"/><Relationship Id="rId7" Type="http://schemas.openxmlformats.org/officeDocument/2006/relationships/hyperlink" Target="https://www.lcsc.com/product-detail/Tantalum-Capacitors_Kyocera-AVX-TAJE107M025RNJ_C7230.html" TargetMode="External"/><Relationship Id="rId2" Type="http://schemas.openxmlformats.org/officeDocument/2006/relationships/hyperlink" Target="https://www.lcsc.com/product-detail/Multilayer-Ceramic-Capacitors-MLCC-SMD-SMT_YAGEO-CC0603MRX5R6BB226_C109447.html" TargetMode="External"/><Relationship Id="rId16" Type="http://schemas.openxmlformats.org/officeDocument/2006/relationships/hyperlink" Target="https://www.lcsc.com/product-detail/Ferrite-Beads_Taiyo-Yuden-FBMH3225HM601NT_C268004.html" TargetMode="External"/><Relationship Id="rId29" Type="http://schemas.openxmlformats.org/officeDocument/2006/relationships/hyperlink" Target="https://www.lcsc.com/product-detail/Chip-Resistor-Surface-Mount_YAGEO-RC0603FR-071KL_C22548.html" TargetMode="External"/><Relationship Id="rId11" Type="http://schemas.openxmlformats.org/officeDocument/2006/relationships/hyperlink" Target="https://www.lcsc.com/product-detail/ESD-Protection-Devices_Nexperia-PESD12VS1UA-115_C131084.html" TargetMode="External"/><Relationship Id="rId24" Type="http://schemas.openxmlformats.org/officeDocument/2006/relationships/hyperlink" Target="https://www.lcsc.com/product-detail/Light-Emitting-Diodes-LED_Foshan-NationStar-Optoelectronics-NCD0603W3_C158100.html" TargetMode="External"/><Relationship Id="rId32" Type="http://schemas.openxmlformats.org/officeDocument/2006/relationships/hyperlink" Target="https://www.lcsc.com/product-detail/Chip-Resistor-Surface-Mount_YAGEO-RC0603JR-070RL_C95177.html" TargetMode="External"/><Relationship Id="rId37" Type="http://schemas.openxmlformats.org/officeDocument/2006/relationships/hyperlink" Target="https://www.lcsc.com/product-detail/Chip-Resistor-Surface-Mount_YAGEO-RC0603FR-072K74L_C185342.html" TargetMode="External"/><Relationship Id="rId40" Type="http://schemas.openxmlformats.org/officeDocument/2006/relationships/hyperlink" Target="https://www.lcsc.com/product-detail/Chip-Resistor-Surface-Mount_YAGEO-RC0603FR-0791RL_C137670.html" TargetMode="External"/><Relationship Id="rId45" Type="http://schemas.openxmlformats.org/officeDocument/2006/relationships/hyperlink" Target="https://www.lcsc.com/product-detail/Slide-Switches_XKB-Connectivity-SS-12D11L5_C319010.html" TargetMode="External"/><Relationship Id="rId53" Type="http://schemas.openxmlformats.org/officeDocument/2006/relationships/hyperlink" Target="https://www.lcsc.com/product-detail/ADC-DAC-Specialized_Everest-semi-Everest-Semiconductor-ES8388_C365736.html" TargetMode="External"/><Relationship Id="rId58" Type="http://schemas.openxmlformats.org/officeDocument/2006/relationships/hyperlink" Target="https://www.lcsc.com/product-detail/Multilayer-Ceramic-Capacitors-MLCC-SMD-SMT_YAGEO-CC0603JRNPO9BN101_C14665.html" TargetMode="External"/><Relationship Id="rId66" Type="http://schemas.openxmlformats.org/officeDocument/2006/relationships/hyperlink" Target="https://www.lcsc.com/product-detail/Gate-Drive-ICs_Analog-Devices-LTC4412IS6-TRPBF_C521306.html" TargetMode="External"/><Relationship Id="rId5" Type="http://schemas.openxmlformats.org/officeDocument/2006/relationships/hyperlink" Target="https://www.lcsc.com/product-detail/Multilayer-Ceramic-Capacitors-MLCC-SMD-SMT_YAGEO-CC0402KRX5R8BB104_C106256.html" TargetMode="External"/><Relationship Id="rId61" Type="http://schemas.openxmlformats.org/officeDocument/2006/relationships/hyperlink" Target="https://www.lcsc.com/product-detail/Multilayer-Ceramic-Capacitors-MLCC-SMD-SMT_YAGEO-CC0603KRX5R8BB105_C14664.html" TargetMode="External"/><Relationship Id="rId19" Type="http://schemas.openxmlformats.org/officeDocument/2006/relationships/hyperlink" Target="https://www.lcsc.com/product-detail/Wire-To-Board-Wire-To-Wire-Connector_BOOMELE-Boom-Precision-Elec-C145963_C145963.html" TargetMode="External"/><Relationship Id="rId14" Type="http://schemas.openxmlformats.org/officeDocument/2006/relationships/hyperlink" Target="https://www.lcsc.com/product-detail/Resettable-Fuses_BHFUSE-BSMD1812-260-13-2V_C883159.html" TargetMode="External"/><Relationship Id="rId22" Type="http://schemas.openxmlformats.org/officeDocument/2006/relationships/hyperlink" Target="https://www.lcsc.com/product-detail/Light-Emitting-Diodes-LED_Foshan-NationStar-Optoelectronics-NCD0603G2_C87326.html" TargetMode="External"/><Relationship Id="rId27" Type="http://schemas.openxmlformats.org/officeDocument/2006/relationships/hyperlink" Target="https://www.lcsc.com/product-detail/MOSFETs_Guangdong-Hottech-AO3407_C181093.html" TargetMode="External"/><Relationship Id="rId30" Type="http://schemas.openxmlformats.org/officeDocument/2006/relationships/hyperlink" Target="https://www.lcsc.com/product-detail/Chip-Resistor-Surface-Mount_YAGEO-RC0603FR-0710KL_C98220.html" TargetMode="External"/><Relationship Id="rId35" Type="http://schemas.openxmlformats.org/officeDocument/2006/relationships/hyperlink" Target="https://www.lcsc.com/product-detail/Chip-Resistor-Surface-Mount_YAGEO-RC0603JR-074K7L_C105428.html" TargetMode="External"/><Relationship Id="rId43" Type="http://schemas.openxmlformats.org/officeDocument/2006/relationships/hyperlink" Target="https://www.lcsc.com/product-detail/Chip-Resistor-Surface-Mount_YAGEO-RC0603FR-075K1L_C105580.html" TargetMode="External"/><Relationship Id="rId48" Type="http://schemas.openxmlformats.org/officeDocument/2006/relationships/hyperlink" Target="https://www.lcsc.com/product-detail/Tactile-Switches_XKB-Connectivity-TS-1109S-B-J_C480323.html" TargetMode="External"/><Relationship Id="rId56" Type="http://schemas.openxmlformats.org/officeDocument/2006/relationships/hyperlink" Target="https://www.lcsc.com/product-detail/Multilayer-Ceramic-Capacitors-MLCC-SMD-SMT_Walsin-Tech-Corp-0402N330K250CT_C387979.html" TargetMode="External"/><Relationship Id="rId64" Type="http://schemas.openxmlformats.org/officeDocument/2006/relationships/hyperlink" Target="https://www.lcsc.com/product-detail/Chip-Resistor-Surface-Mount_YAGEO-AC0603JR-07470KL_C144601.html" TargetMode="External"/><Relationship Id="rId8" Type="http://schemas.openxmlformats.org/officeDocument/2006/relationships/hyperlink" Target="https://www.lcsc.com/product-detail/Multilayer-Ceramic-Capacitors-MLCC-SMD-SMT_YAGEO-CC0603KRX5R7BB475_C277476.html" TargetMode="External"/><Relationship Id="rId51" Type="http://schemas.openxmlformats.org/officeDocument/2006/relationships/hyperlink" Target="https://www.lcsc.com/product-detail/Linear-Voltage-Regulators-LDO_Texas-Instruments-TPS70933DBVR_C89347.html" TargetMode="External"/><Relationship Id="rId3" Type="http://schemas.openxmlformats.org/officeDocument/2006/relationships/hyperlink" Target="https://www.lcsc.com/product-detail/Solid-Capacitors_PANASONIC-25SVPF330M_C178367.html" TargetMode="External"/><Relationship Id="rId12" Type="http://schemas.openxmlformats.org/officeDocument/2006/relationships/hyperlink" Target="https://www.lcsc.com/product-detail/Schottky-Barrier-Diodes-SBD_MDD-Microdiode-Electronics-SS34_C8678.html" TargetMode="External"/><Relationship Id="rId17" Type="http://schemas.openxmlformats.org/officeDocument/2006/relationships/hyperlink" Target="https://www.lcsc.com/product-detail/USB-Connectors_Korean-Hroparts-Elec-TYPE-C-31-M-12_C165948.html" TargetMode="External"/><Relationship Id="rId25" Type="http://schemas.openxmlformats.org/officeDocument/2006/relationships/hyperlink" Target="https://www.lcsc.com/product-detail/Light-Emitting-Diodes-LED_MEIHUA-MHP5050RGBDT_C409780.html" TargetMode="External"/><Relationship Id="rId33" Type="http://schemas.openxmlformats.org/officeDocument/2006/relationships/hyperlink" Target="https://www.lcsc.com/product-detail/Chip-Resistor-Surface-Mount_YAGEO-RT0603BRD0747KL_C326725.html" TargetMode="External"/><Relationship Id="rId38" Type="http://schemas.openxmlformats.org/officeDocument/2006/relationships/hyperlink" Target="https://www.lcsc.com/product-detail/Chip-Resistor-Surface-Mount_YAGEO-RC0603FR-0751RL_C114628.html" TargetMode="External"/><Relationship Id="rId46" Type="http://schemas.openxmlformats.org/officeDocument/2006/relationships/hyperlink" Target="https://www.lcsc.com/product-detail/Tactile-Switches_XKB-Connectivity-TS-1109S-C-B_C381037.html" TargetMode="External"/><Relationship Id="rId59" Type="http://schemas.openxmlformats.org/officeDocument/2006/relationships/hyperlink" Target="https://www.lcsc.com/product-detail/Monitors-Reset-Circuits_ROHM-Semicon-BD4860FVE-TR_C509824.html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https://www.lcsc.com/product-detail/Power-Inductors_YJYCOIN-YPRH1204-220M_C338845.html" TargetMode="External"/><Relationship Id="rId41" Type="http://schemas.openxmlformats.org/officeDocument/2006/relationships/hyperlink" Target="https://www.lcsc.com/product-detail/Chip-Resistor-Surface-Mount_YAGEO-RC0603FR-0722RL_C107701.html" TargetMode="External"/><Relationship Id="rId54" Type="http://schemas.openxmlformats.org/officeDocument/2006/relationships/hyperlink" Target="https://www.lcsc.com/product-detail/Audio-Power-OpAmps_Diodes-Incorporated-PAM8006ATR_C167118.html" TargetMode="External"/><Relationship Id="rId62" Type="http://schemas.openxmlformats.org/officeDocument/2006/relationships/hyperlink" Target="https://www.aliexpress.com/item/1005004577332079.html?gatewayAdapt=glo2pol" TargetMode="External"/><Relationship Id="rId1" Type="http://schemas.openxmlformats.org/officeDocument/2006/relationships/hyperlink" Target="https://www.lcsc.com/product-detail/Multilayer-Ceramic-Capacitors-MLCC-SMD-SMT_YAGEO-CC0603JRNPO9BN103_C389113.html" TargetMode="External"/><Relationship Id="rId6" Type="http://schemas.openxmlformats.org/officeDocument/2006/relationships/hyperlink" Target="https://www.lcsc.com/product-detail/Solid-Capacitors_PANASONIC-25SVPF100M_C136279.html" TargetMode="External"/><Relationship Id="rId15" Type="http://schemas.openxmlformats.org/officeDocument/2006/relationships/hyperlink" Target="https://www.lcsc.com/product-detail/Ferrite-Beads_Murata-Electronics-BLM18SG121TN1D_C113030.html" TargetMode="External"/><Relationship Id="rId23" Type="http://schemas.openxmlformats.org/officeDocument/2006/relationships/hyperlink" Target="https://www.lcsc.com/product-detail/Light-Emitting-Diodes-LED_Foshan-NationStar-Optoelectronics-NCD0603R3_C3151730.html" TargetMode="External"/><Relationship Id="rId28" Type="http://schemas.openxmlformats.org/officeDocument/2006/relationships/hyperlink" Target="https://www.lcsc.com/product-detail/Bipolar-Transistors-BJT_TECH-PUBLIC-MMBT3904M_C2923360.html" TargetMode="External"/><Relationship Id="rId36" Type="http://schemas.openxmlformats.org/officeDocument/2006/relationships/hyperlink" Target="https://www.lcsc.com/product-detail/Chip-Resistor-Surface-Mount_YAGEO-RC0603FR-0724KL_C137760.html" TargetMode="External"/><Relationship Id="rId49" Type="http://schemas.openxmlformats.org/officeDocument/2006/relationships/hyperlink" Target="https://www.lcsc.com/product-detail/USB-ICs_WCH-Jiangsu-Qin-Heng-CH224K_C970725.html" TargetMode="External"/><Relationship Id="rId57" Type="http://schemas.openxmlformats.org/officeDocument/2006/relationships/hyperlink" Target="https://www.lcsc.com/product-detail/span-style-background-color-ff0-Pin-span-Headers_DEALON-DZ254R-11-02-63_C2935908.html" TargetMode="External"/><Relationship Id="rId10" Type="http://schemas.openxmlformats.org/officeDocument/2006/relationships/hyperlink" Target="https://www.lcsc.com/product-detail/Zener-Diodes_EIC-Semicon-MM3Z3V3B_C2978865.html" TargetMode="External"/><Relationship Id="rId31" Type="http://schemas.openxmlformats.org/officeDocument/2006/relationships/hyperlink" Target="https://www.lcsc.com/product-detail/Chip-Resistor-Surface-Mount_UNI-ROYAL-Uniroyal-Elec-0805W4J082LT5E_C2767643.html" TargetMode="External"/><Relationship Id="rId44" Type="http://schemas.openxmlformats.org/officeDocument/2006/relationships/hyperlink" Target="https://www.lcsc.com/product-detail/Chip-Resistor-Surface-Mount_YAGEO-RC0603FR-0773K2L_C163420.html" TargetMode="External"/><Relationship Id="rId52" Type="http://schemas.openxmlformats.org/officeDocument/2006/relationships/hyperlink" Target="https://www.lcsc.com/product-detail/WiFi-Modules_Espressif-Systems-ESP32-WROOM-32E-N8_C701342.html" TargetMode="External"/><Relationship Id="rId60" Type="http://schemas.openxmlformats.org/officeDocument/2006/relationships/hyperlink" Target="https://www.lcsc.com/product-detail/Linear-Voltage-Regulators-LDO_MaxLinear-SPX3819M5-L-3-3-TR_C9055.html" TargetMode="External"/><Relationship Id="rId65" Type="http://schemas.openxmlformats.org/officeDocument/2006/relationships/hyperlink" Target="https://www.lcsc.com/product-detail/Chip-Resistor-Surface-Mount_YAGEO-RC0603FR-0710RL_C109318.html" TargetMode="External"/><Relationship Id="rId4" Type="http://schemas.openxmlformats.org/officeDocument/2006/relationships/hyperlink" Target="https://www.lcsc.com/product-detail/Multilayer-Ceramic-Capacitors-MLCC-SMD-SMT_YAGEO-CC0805KKX5R8BB106_C89831.html" TargetMode="External"/><Relationship Id="rId9" Type="http://schemas.openxmlformats.org/officeDocument/2006/relationships/hyperlink" Target="https://www.lcsc.com/product-detail/Multilayer-Ceramic-Capacitors-MLCC-SMD-SMT_YAGEO-CC0603KRX7R9BB201_C107080.html" TargetMode="External"/><Relationship Id="rId13" Type="http://schemas.openxmlformats.org/officeDocument/2006/relationships/hyperlink" Target="https://www.lcsc.com/product-detail/Switching-Diode_Diodes-Incorporated-1N4148WS-7-F_C60580.html" TargetMode="External"/><Relationship Id="rId18" Type="http://schemas.openxmlformats.org/officeDocument/2006/relationships/hyperlink" Target="https://www.lcsc.com/product-detail/Wire-To-Board-Wire-To-Wire-Connector_JST-Sales-America-B2B-XH-A-LF-SN_C158012.html" TargetMode="External"/><Relationship Id="rId39" Type="http://schemas.openxmlformats.org/officeDocument/2006/relationships/hyperlink" Target="https://www.lcsc.com/product-detail/Chip-Resistor-Surface-Mount_YAGEO-RC0603FR-0733RL_C1086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2"/>
  <sheetViews>
    <sheetView topLeftCell="G65" workbookViewId="0">
      <selection activeCell="Q85" sqref="Q8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32.285156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570312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9"/>
      <c r="L1" s="79"/>
      <c r="M1" s="79"/>
      <c r="N1" s="79"/>
      <c r="O1" s="79"/>
      <c r="P1" s="79"/>
      <c r="Q1" s="79"/>
      <c r="R1" s="79"/>
      <c r="S1" s="80"/>
    </row>
    <row r="2" spans="1:19" ht="32.25" thickBot="1" x14ac:dyDescent="0.3">
      <c r="A2" s="1"/>
      <c r="B2" s="21"/>
      <c r="C2" s="31"/>
      <c r="D2" s="11" t="s">
        <v>0</v>
      </c>
      <c r="E2" s="11"/>
      <c r="F2" s="54" t="s">
        <v>339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5" t="s">
        <v>340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1"/>
    </row>
    <row r="4" spans="1:19" x14ac:dyDescent="0.25">
      <c r="A4" s="1"/>
      <c r="B4" s="22"/>
      <c r="C4" s="32"/>
      <c r="D4" s="13" t="s">
        <v>2</v>
      </c>
      <c r="E4" s="13"/>
      <c r="F4" s="55" t="s">
        <v>340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2"/>
    </row>
    <row r="5" spans="1:19" x14ac:dyDescent="0.25">
      <c r="A5" s="1"/>
      <c r="B5" s="22"/>
      <c r="C5" s="32"/>
      <c r="D5" s="13" t="s">
        <v>3</v>
      </c>
      <c r="E5" s="13"/>
      <c r="F5" s="56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2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2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2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2"/>
    </row>
    <row r="9" spans="1:19" ht="15.75" thickBot="1" x14ac:dyDescent="0.3">
      <c r="A9" s="1"/>
      <c r="B9" s="30" t="s">
        <v>4</v>
      </c>
      <c r="C9" s="30" t="s">
        <v>8</v>
      </c>
      <c r="D9" s="30" t="s">
        <v>28</v>
      </c>
      <c r="E9" s="30" t="s">
        <v>57</v>
      </c>
      <c r="F9" s="30" t="s">
        <v>120</v>
      </c>
      <c r="G9" s="30" t="s">
        <v>153</v>
      </c>
      <c r="H9" s="30" t="s">
        <v>208</v>
      </c>
      <c r="I9" s="30" t="s">
        <v>328</v>
      </c>
      <c r="J9" s="30" t="s">
        <v>240</v>
      </c>
      <c r="K9" s="30" t="s">
        <v>336</v>
      </c>
      <c r="L9" s="30" t="s">
        <v>327</v>
      </c>
      <c r="M9" s="30" t="s">
        <v>329</v>
      </c>
      <c r="N9" s="30" t="s">
        <v>330</v>
      </c>
      <c r="O9" s="30" t="s">
        <v>331</v>
      </c>
      <c r="P9" s="30" t="s">
        <v>349</v>
      </c>
      <c r="Q9" s="30" t="s">
        <v>332</v>
      </c>
      <c r="R9" s="30" t="s">
        <v>333</v>
      </c>
      <c r="S9" s="30" t="s">
        <v>334</v>
      </c>
    </row>
    <row r="10" spans="1:19" s="60" customFormat="1" x14ac:dyDescent="0.25">
      <c r="A10" s="58"/>
      <c r="B10" s="47">
        <f t="shared" ref="B10:B19" si="0">ROW(B10) - ROW($B$9)</f>
        <v>1</v>
      </c>
      <c r="C10" s="52" t="s">
        <v>9</v>
      </c>
      <c r="D10" s="72" t="s">
        <v>396</v>
      </c>
      <c r="E10" s="50" t="s">
        <v>62</v>
      </c>
      <c r="F10" s="50" t="s">
        <v>123</v>
      </c>
      <c r="G10" s="50" t="s">
        <v>157</v>
      </c>
      <c r="H10" s="50" t="s">
        <v>209</v>
      </c>
      <c r="I10" s="50" t="s">
        <v>335</v>
      </c>
      <c r="J10" s="50" t="s">
        <v>245</v>
      </c>
      <c r="K10" s="50" t="s">
        <v>302</v>
      </c>
      <c r="L10" s="37">
        <v>8</v>
      </c>
      <c r="M10" s="37">
        <f>L10*5</f>
        <v>40</v>
      </c>
      <c r="N10" s="37">
        <v>40</v>
      </c>
      <c r="O10" s="66" t="s">
        <v>341</v>
      </c>
      <c r="P10" s="51">
        <v>5.04E-2</v>
      </c>
      <c r="Q10" s="38">
        <f>P10*N10</f>
        <v>2.016</v>
      </c>
      <c r="R10" s="37"/>
      <c r="S10" s="59"/>
    </row>
    <row r="11" spans="1:19" s="60" customFormat="1" ht="36" x14ac:dyDescent="0.25">
      <c r="A11" s="58"/>
      <c r="B11" s="47">
        <f>ROW(B11) - ROW($B$9)</f>
        <v>2</v>
      </c>
      <c r="C11" s="53" t="s">
        <v>9</v>
      </c>
      <c r="D11" s="73" t="s">
        <v>395</v>
      </c>
      <c r="E11" s="50" t="s">
        <v>63</v>
      </c>
      <c r="F11" s="50" t="s">
        <v>124</v>
      </c>
      <c r="G11" s="50" t="s">
        <v>158</v>
      </c>
      <c r="H11" s="50" t="s">
        <v>209</v>
      </c>
      <c r="I11" s="50" t="s">
        <v>335</v>
      </c>
      <c r="J11" s="50" t="s">
        <v>246</v>
      </c>
      <c r="K11" s="50" t="s">
        <v>301</v>
      </c>
      <c r="L11" s="50">
        <v>28</v>
      </c>
      <c r="M11" s="37">
        <f>L11*5</f>
        <v>140</v>
      </c>
      <c r="N11" s="50">
        <v>200</v>
      </c>
      <c r="O11" s="66" t="s">
        <v>341</v>
      </c>
      <c r="P11" s="51">
        <v>1.9E-3</v>
      </c>
      <c r="Q11" s="51">
        <f t="shared" ref="Q11" si="1">P11*N11</f>
        <v>0.38</v>
      </c>
      <c r="R11" s="50"/>
      <c r="S11" s="57"/>
    </row>
    <row r="12" spans="1:19" s="60" customFormat="1" x14ac:dyDescent="0.25">
      <c r="A12" s="58"/>
      <c r="B12" s="46">
        <f t="shared" si="0"/>
        <v>3</v>
      </c>
      <c r="C12" s="52" t="s">
        <v>9</v>
      </c>
      <c r="D12" s="72" t="s">
        <v>350</v>
      </c>
      <c r="E12" s="37" t="s">
        <v>60</v>
      </c>
      <c r="F12" s="37" t="s">
        <v>337</v>
      </c>
      <c r="G12" s="37" t="s">
        <v>122</v>
      </c>
      <c r="H12" s="37" t="s">
        <v>210</v>
      </c>
      <c r="I12" s="37" t="s">
        <v>335</v>
      </c>
      <c r="J12" s="37" t="s">
        <v>243</v>
      </c>
      <c r="K12" s="37" t="s">
        <v>299</v>
      </c>
      <c r="L12" s="37">
        <v>2</v>
      </c>
      <c r="M12" s="37">
        <f t="shared" ref="M12:M71" si="2">L12*5</f>
        <v>10</v>
      </c>
      <c r="N12" s="37">
        <v>11</v>
      </c>
      <c r="O12" s="65" t="s">
        <v>341</v>
      </c>
      <c r="P12" s="38">
        <v>0.80789999999999995</v>
      </c>
      <c r="Q12" s="38">
        <f>P12*N12</f>
        <v>8.8868999999999989</v>
      </c>
      <c r="R12" s="37"/>
      <c r="S12" s="57"/>
    </row>
    <row r="13" spans="1:19" s="60" customFormat="1" x14ac:dyDescent="0.25">
      <c r="A13" s="58"/>
      <c r="B13" s="46">
        <f t="shared" si="0"/>
        <v>4</v>
      </c>
      <c r="C13" s="52" t="s">
        <v>9</v>
      </c>
      <c r="D13" s="72" t="s">
        <v>351</v>
      </c>
      <c r="E13" s="37" t="s">
        <v>64</v>
      </c>
      <c r="F13" s="37" t="s">
        <v>337</v>
      </c>
      <c r="G13" s="37" t="s">
        <v>125</v>
      </c>
      <c r="H13" s="37" t="s">
        <v>210</v>
      </c>
      <c r="I13" s="37" t="s">
        <v>335</v>
      </c>
      <c r="J13" s="37" t="s">
        <v>247</v>
      </c>
      <c r="K13" s="37" t="s">
        <v>303</v>
      </c>
      <c r="L13" s="37">
        <v>2</v>
      </c>
      <c r="M13" s="37">
        <f t="shared" si="2"/>
        <v>10</v>
      </c>
      <c r="N13" s="37">
        <v>11</v>
      </c>
      <c r="O13" s="65" t="s">
        <v>341</v>
      </c>
      <c r="P13" s="38">
        <v>0.64319999999999999</v>
      </c>
      <c r="Q13" s="38">
        <f>P13*N13</f>
        <v>7.0751999999999997</v>
      </c>
      <c r="R13" s="37"/>
      <c r="S13" s="57"/>
    </row>
    <row r="14" spans="1:19" s="60" customFormat="1" ht="36" x14ac:dyDescent="0.25">
      <c r="A14" s="58"/>
      <c r="B14" s="47">
        <f t="shared" si="0"/>
        <v>5</v>
      </c>
      <c r="C14" s="52" t="s">
        <v>9</v>
      </c>
      <c r="D14" s="73" t="s">
        <v>352</v>
      </c>
      <c r="E14" s="50" t="s">
        <v>61</v>
      </c>
      <c r="F14" s="50" t="s">
        <v>121</v>
      </c>
      <c r="G14" s="50" t="s">
        <v>156</v>
      </c>
      <c r="H14" s="50" t="s">
        <v>209</v>
      </c>
      <c r="I14" s="50" t="s">
        <v>335</v>
      </c>
      <c r="J14" s="50" t="s">
        <v>244</v>
      </c>
      <c r="K14" s="50" t="s">
        <v>300</v>
      </c>
      <c r="L14" s="50">
        <v>22</v>
      </c>
      <c r="M14" s="37">
        <f t="shared" si="2"/>
        <v>110</v>
      </c>
      <c r="N14" s="50">
        <v>200</v>
      </c>
      <c r="O14" s="66" t="s">
        <v>341</v>
      </c>
      <c r="P14" s="51">
        <v>5.1999999999999998E-3</v>
      </c>
      <c r="Q14" s="51">
        <f t="shared" ref="Q14" si="3">P14*N14</f>
        <v>1.04</v>
      </c>
      <c r="R14" s="50"/>
      <c r="S14" s="57"/>
    </row>
    <row r="15" spans="1:19" s="60" customFormat="1" x14ac:dyDescent="0.25">
      <c r="A15" s="58"/>
      <c r="B15" s="47">
        <f t="shared" si="0"/>
        <v>6</v>
      </c>
      <c r="C15" s="52" t="s">
        <v>9</v>
      </c>
      <c r="D15" s="72" t="s">
        <v>353</v>
      </c>
      <c r="E15" s="50" t="s">
        <v>65</v>
      </c>
      <c r="F15" s="50" t="s">
        <v>126</v>
      </c>
      <c r="G15" s="50" t="s">
        <v>159</v>
      </c>
      <c r="H15" s="50" t="s">
        <v>211</v>
      </c>
      <c r="I15" s="50" t="s">
        <v>335</v>
      </c>
      <c r="J15" s="50" t="s">
        <v>248</v>
      </c>
      <c r="K15" s="50" t="s">
        <v>303</v>
      </c>
      <c r="L15" s="37">
        <v>1</v>
      </c>
      <c r="M15" s="37">
        <f t="shared" si="2"/>
        <v>5</v>
      </c>
      <c r="N15" s="37">
        <v>6</v>
      </c>
      <c r="O15" s="66" t="s">
        <v>341</v>
      </c>
      <c r="P15" s="51">
        <v>1.4064000000000001</v>
      </c>
      <c r="Q15" s="38">
        <f>P15*N15</f>
        <v>8.4384000000000015</v>
      </c>
      <c r="R15" s="37"/>
      <c r="S15" s="57"/>
    </row>
    <row r="16" spans="1:19" s="60" customFormat="1" x14ac:dyDescent="0.25">
      <c r="A16" s="58"/>
      <c r="B16" s="47">
        <f t="shared" si="0"/>
        <v>7</v>
      </c>
      <c r="C16" s="52" t="s">
        <v>9</v>
      </c>
      <c r="D16" s="73" t="s">
        <v>354</v>
      </c>
      <c r="E16" s="50" t="s">
        <v>66</v>
      </c>
      <c r="F16" s="50" t="s">
        <v>121</v>
      </c>
      <c r="G16" s="50" t="s">
        <v>160</v>
      </c>
      <c r="H16" s="50" t="s">
        <v>209</v>
      </c>
      <c r="I16" s="50" t="s">
        <v>335</v>
      </c>
      <c r="J16" s="50" t="s">
        <v>249</v>
      </c>
      <c r="K16" s="50" t="s">
        <v>304</v>
      </c>
      <c r="L16" s="50">
        <v>6</v>
      </c>
      <c r="M16" s="37">
        <f t="shared" si="2"/>
        <v>30</v>
      </c>
      <c r="N16" s="50">
        <v>40</v>
      </c>
      <c r="O16" s="66" t="s">
        <v>341</v>
      </c>
      <c r="P16" s="51">
        <v>2.41E-2</v>
      </c>
      <c r="Q16" s="51">
        <f t="shared" ref="Q16" si="4">P16*N16</f>
        <v>0.96399999999999997</v>
      </c>
      <c r="R16" s="50"/>
      <c r="S16" s="57"/>
    </row>
    <row r="17" spans="1:19" s="60" customFormat="1" x14ac:dyDescent="0.25">
      <c r="A17" s="58"/>
      <c r="B17" s="46">
        <f t="shared" si="0"/>
        <v>8</v>
      </c>
      <c r="C17" s="52" t="s">
        <v>9</v>
      </c>
      <c r="D17" s="72" t="s">
        <v>355</v>
      </c>
      <c r="E17" s="37" t="s">
        <v>67</v>
      </c>
      <c r="F17" s="37" t="s">
        <v>124</v>
      </c>
      <c r="G17" s="62" t="s">
        <v>161</v>
      </c>
      <c r="H17" s="37" t="s">
        <v>212</v>
      </c>
      <c r="I17" s="37" t="s">
        <v>344</v>
      </c>
      <c r="J17" s="37" t="s">
        <v>343</v>
      </c>
      <c r="K17" s="37" t="s">
        <v>305</v>
      </c>
      <c r="L17" s="37">
        <v>3</v>
      </c>
      <c r="M17" s="37">
        <f t="shared" si="2"/>
        <v>15</v>
      </c>
      <c r="N17" s="37">
        <v>50</v>
      </c>
      <c r="O17" s="65" t="s">
        <v>341</v>
      </c>
      <c r="P17" s="38">
        <v>5.1000000000000004E-3</v>
      </c>
      <c r="Q17" s="38">
        <f>P17*N17</f>
        <v>0.255</v>
      </c>
      <c r="R17" s="37"/>
      <c r="S17" s="57"/>
    </row>
    <row r="18" spans="1:19" s="60" customFormat="1" x14ac:dyDescent="0.25">
      <c r="A18" s="58"/>
      <c r="B18" s="46">
        <f t="shared" si="0"/>
        <v>9</v>
      </c>
      <c r="C18" s="52" t="s">
        <v>9</v>
      </c>
      <c r="D18" s="72" t="s">
        <v>387</v>
      </c>
      <c r="E18" s="37" t="s">
        <v>58</v>
      </c>
      <c r="F18" s="37" t="s">
        <v>121</v>
      </c>
      <c r="G18" s="37" t="s">
        <v>154</v>
      </c>
      <c r="H18" s="37" t="s">
        <v>209</v>
      </c>
      <c r="I18" s="37" t="s">
        <v>335</v>
      </c>
      <c r="J18" s="37" t="s">
        <v>241</v>
      </c>
      <c r="K18" s="37" t="s">
        <v>297</v>
      </c>
      <c r="L18" s="37">
        <v>3</v>
      </c>
      <c r="M18" s="37">
        <f t="shared" si="2"/>
        <v>15</v>
      </c>
      <c r="N18" s="37">
        <v>50</v>
      </c>
      <c r="O18" s="65" t="s">
        <v>341</v>
      </c>
      <c r="P18" s="38">
        <v>1.5599999999999999E-2</v>
      </c>
      <c r="Q18" s="38">
        <f>P18*N18</f>
        <v>0.77999999999999992</v>
      </c>
      <c r="R18" s="37"/>
      <c r="S18" s="57"/>
    </row>
    <row r="19" spans="1:19" s="60" customFormat="1" x14ac:dyDescent="0.25">
      <c r="A19" s="58"/>
      <c r="B19" s="46">
        <f t="shared" si="0"/>
        <v>10</v>
      </c>
      <c r="C19" s="52" t="s">
        <v>9</v>
      </c>
      <c r="D19" s="73" t="s">
        <v>356</v>
      </c>
      <c r="E19" s="37" t="s">
        <v>68</v>
      </c>
      <c r="F19" s="37" t="s">
        <v>121</v>
      </c>
      <c r="G19" s="37" t="s">
        <v>162</v>
      </c>
      <c r="H19" s="37" t="s">
        <v>209</v>
      </c>
      <c r="I19" s="37" t="s">
        <v>335</v>
      </c>
      <c r="J19" s="37" t="s">
        <v>250</v>
      </c>
      <c r="K19" s="37" t="s">
        <v>306</v>
      </c>
      <c r="L19" s="50">
        <v>4</v>
      </c>
      <c r="M19" s="37">
        <f t="shared" si="2"/>
        <v>20</v>
      </c>
      <c r="N19" s="50">
        <v>100</v>
      </c>
      <c r="O19" s="65" t="s">
        <v>341</v>
      </c>
      <c r="P19" s="38">
        <v>3.0000000000000001E-3</v>
      </c>
      <c r="Q19" s="51">
        <f t="shared" ref="Q19" si="5">P19*N19</f>
        <v>0.3</v>
      </c>
      <c r="R19" s="50"/>
      <c r="S19" s="57"/>
    </row>
    <row r="20" spans="1:19" s="60" customFormat="1" x14ac:dyDescent="0.25">
      <c r="A20" s="58"/>
      <c r="B20" s="46"/>
      <c r="C20" s="52"/>
      <c r="D20" s="72" t="s">
        <v>357</v>
      </c>
      <c r="E20" s="37" t="s">
        <v>358</v>
      </c>
      <c r="F20" s="37" t="s">
        <v>121</v>
      </c>
      <c r="G20" s="37" t="s">
        <v>359</v>
      </c>
      <c r="H20" s="37" t="s">
        <v>209</v>
      </c>
      <c r="I20" s="37" t="s">
        <v>335</v>
      </c>
      <c r="J20" s="37" t="s">
        <v>360</v>
      </c>
      <c r="K20" s="37" t="s">
        <v>361</v>
      </c>
      <c r="L20" s="37">
        <v>1</v>
      </c>
      <c r="M20" s="37">
        <f t="shared" si="2"/>
        <v>5</v>
      </c>
      <c r="N20" s="37">
        <v>100</v>
      </c>
      <c r="O20" s="65" t="s">
        <v>341</v>
      </c>
      <c r="P20" s="38">
        <v>2.2000000000000001E-3</v>
      </c>
      <c r="Q20" s="38">
        <f>P20*N20</f>
        <v>0.22</v>
      </c>
      <c r="R20" s="37"/>
      <c r="S20" s="57"/>
    </row>
    <row r="21" spans="1:19" s="60" customFormat="1" x14ac:dyDescent="0.25">
      <c r="A21" s="58"/>
      <c r="B21" s="47">
        <f t="shared" ref="B21:B78" si="6">ROW(B21) - ROW($B$9)</f>
        <v>12</v>
      </c>
      <c r="C21" s="52" t="s">
        <v>9</v>
      </c>
      <c r="D21" s="73" t="s">
        <v>362</v>
      </c>
      <c r="E21" s="50" t="s">
        <v>59</v>
      </c>
      <c r="F21" s="50" t="s">
        <v>121</v>
      </c>
      <c r="G21" s="50" t="s">
        <v>155</v>
      </c>
      <c r="H21" s="50" t="s">
        <v>209</v>
      </c>
      <c r="I21" s="50" t="s">
        <v>335</v>
      </c>
      <c r="J21" s="50" t="s">
        <v>242</v>
      </c>
      <c r="K21" s="50" t="s">
        <v>298</v>
      </c>
      <c r="L21" s="50">
        <v>1</v>
      </c>
      <c r="M21" s="37">
        <f t="shared" si="2"/>
        <v>5</v>
      </c>
      <c r="N21" s="50">
        <v>20</v>
      </c>
      <c r="O21" s="66" t="s">
        <v>341</v>
      </c>
      <c r="P21" s="51">
        <v>3.5700000000000003E-2</v>
      </c>
      <c r="Q21" s="51">
        <f t="shared" ref="Q21" si="7">P21*N21</f>
        <v>0.71400000000000008</v>
      </c>
      <c r="R21" s="50"/>
      <c r="S21" s="57"/>
    </row>
    <row r="22" spans="1:19" s="60" customFormat="1" ht="24" x14ac:dyDescent="0.25">
      <c r="A22" s="58"/>
      <c r="B22" s="47">
        <f t="shared" si="6"/>
        <v>13</v>
      </c>
      <c r="C22" s="52" t="s">
        <v>11</v>
      </c>
      <c r="D22" s="73" t="s">
        <v>29</v>
      </c>
      <c r="E22" s="50" t="s">
        <v>69</v>
      </c>
      <c r="F22" s="50" t="s">
        <v>127</v>
      </c>
      <c r="G22" s="50" t="s">
        <v>163</v>
      </c>
      <c r="H22" s="50" t="s">
        <v>213</v>
      </c>
      <c r="I22" s="50" t="s">
        <v>335</v>
      </c>
      <c r="J22" s="50" t="s">
        <v>251</v>
      </c>
      <c r="K22" s="50" t="s">
        <v>335</v>
      </c>
      <c r="L22" s="50">
        <v>2</v>
      </c>
      <c r="M22" s="37">
        <f t="shared" si="2"/>
        <v>10</v>
      </c>
      <c r="N22" s="37">
        <v>20</v>
      </c>
      <c r="O22" s="66" t="s">
        <v>341</v>
      </c>
      <c r="P22" s="51">
        <v>4.48E-2</v>
      </c>
      <c r="Q22" s="38">
        <f>P22*N22</f>
        <v>0.89600000000000002</v>
      </c>
      <c r="R22" s="37"/>
      <c r="S22" s="57"/>
    </row>
    <row r="23" spans="1:19" s="60" customFormat="1" x14ac:dyDescent="0.25">
      <c r="A23" s="58"/>
      <c r="B23" s="46">
        <f>ROW(B23) - ROW($B$9)</f>
        <v>14</v>
      </c>
      <c r="C23" s="52" t="s">
        <v>10</v>
      </c>
      <c r="D23" s="72" t="s">
        <v>30</v>
      </c>
      <c r="E23" s="37" t="s">
        <v>70</v>
      </c>
      <c r="F23" s="37" t="s">
        <v>128</v>
      </c>
      <c r="G23" s="37" t="s">
        <v>164</v>
      </c>
      <c r="H23" s="37" t="s">
        <v>214</v>
      </c>
      <c r="I23" s="37" t="s">
        <v>335</v>
      </c>
      <c r="J23" s="37" t="s">
        <v>252</v>
      </c>
      <c r="K23" s="50" t="s">
        <v>335</v>
      </c>
      <c r="L23" s="37">
        <v>1</v>
      </c>
      <c r="M23" s="37">
        <f t="shared" si="2"/>
        <v>5</v>
      </c>
      <c r="N23" s="50">
        <v>6</v>
      </c>
      <c r="O23" s="65" t="s">
        <v>341</v>
      </c>
      <c r="P23" s="38">
        <v>0.39460000000000001</v>
      </c>
      <c r="Q23" s="51">
        <f t="shared" ref="Q23" si="8">P23*N23</f>
        <v>2.3675999999999999</v>
      </c>
      <c r="R23" s="50"/>
      <c r="S23" s="57"/>
    </row>
    <row r="24" spans="1:19" s="60" customFormat="1" ht="36" x14ac:dyDescent="0.25">
      <c r="A24" s="58"/>
      <c r="B24" s="47">
        <f t="shared" si="6"/>
        <v>15</v>
      </c>
      <c r="C24" s="53" t="s">
        <v>11</v>
      </c>
      <c r="D24" s="73" t="s">
        <v>397</v>
      </c>
      <c r="E24" s="50" t="s">
        <v>71</v>
      </c>
      <c r="F24" s="50" t="s">
        <v>129</v>
      </c>
      <c r="G24" s="50" t="s">
        <v>165</v>
      </c>
      <c r="H24" s="50" t="s">
        <v>215</v>
      </c>
      <c r="I24" s="50" t="s">
        <v>335</v>
      </c>
      <c r="J24" s="50" t="s">
        <v>253</v>
      </c>
      <c r="K24" s="50" t="s">
        <v>335</v>
      </c>
      <c r="L24" s="50">
        <v>3</v>
      </c>
      <c r="M24" s="37">
        <f t="shared" si="2"/>
        <v>15</v>
      </c>
      <c r="N24" s="37">
        <v>20</v>
      </c>
      <c r="O24" s="66" t="s">
        <v>341</v>
      </c>
      <c r="P24" s="51">
        <v>3.32E-2</v>
      </c>
      <c r="Q24" s="38">
        <f>P24*N24</f>
        <v>0.66400000000000003</v>
      </c>
      <c r="R24" s="37"/>
      <c r="S24" s="57"/>
    </row>
    <row r="25" spans="1:19" s="60" customFormat="1" x14ac:dyDescent="0.25">
      <c r="A25" s="58"/>
      <c r="B25" s="46">
        <f>ROW(B25) - ROW($B$9)</f>
        <v>16</v>
      </c>
      <c r="C25" s="52" t="s">
        <v>11</v>
      </c>
      <c r="D25" s="72" t="s">
        <v>31</v>
      </c>
      <c r="E25" s="37" t="s">
        <v>72</v>
      </c>
      <c r="F25" s="37" t="s">
        <v>128</v>
      </c>
      <c r="G25" s="37" t="s">
        <v>166</v>
      </c>
      <c r="H25" s="37" t="s">
        <v>216</v>
      </c>
      <c r="I25" s="37" t="s">
        <v>335</v>
      </c>
      <c r="J25" s="37" t="s">
        <v>254</v>
      </c>
      <c r="K25" s="50" t="s">
        <v>335</v>
      </c>
      <c r="L25" s="37">
        <v>2</v>
      </c>
      <c r="M25" s="37">
        <f t="shared" si="2"/>
        <v>10</v>
      </c>
      <c r="N25" s="50">
        <v>20</v>
      </c>
      <c r="O25" s="65" t="s">
        <v>341</v>
      </c>
      <c r="P25" s="38">
        <v>2.12E-2</v>
      </c>
      <c r="Q25" s="51">
        <f t="shared" ref="Q25" si="9">P25*N25</f>
        <v>0.42399999999999999</v>
      </c>
      <c r="R25" s="50"/>
      <c r="S25" s="57"/>
    </row>
    <row r="26" spans="1:19" s="60" customFormat="1" ht="36" x14ac:dyDescent="0.25">
      <c r="A26" s="58"/>
      <c r="B26" s="47">
        <f t="shared" si="6"/>
        <v>17</v>
      </c>
      <c r="C26" s="53" t="s">
        <v>12</v>
      </c>
      <c r="D26" s="73" t="s">
        <v>32</v>
      </c>
      <c r="E26" s="50" t="s">
        <v>73</v>
      </c>
      <c r="F26" s="50" t="s">
        <v>130</v>
      </c>
      <c r="G26" s="50" t="s">
        <v>167</v>
      </c>
      <c r="H26" s="50" t="s">
        <v>217</v>
      </c>
      <c r="I26" s="50" t="s">
        <v>335</v>
      </c>
      <c r="J26" s="50" t="s">
        <v>255</v>
      </c>
      <c r="K26" s="50" t="s">
        <v>335</v>
      </c>
      <c r="L26" s="50">
        <v>1</v>
      </c>
      <c r="M26" s="37">
        <f t="shared" si="2"/>
        <v>5</v>
      </c>
      <c r="N26" s="37">
        <v>10</v>
      </c>
      <c r="O26" s="66" t="s">
        <v>341</v>
      </c>
      <c r="P26" s="51">
        <v>5.2400000000000002E-2</v>
      </c>
      <c r="Q26" s="38">
        <f>P26*N26</f>
        <v>0.52400000000000002</v>
      </c>
      <c r="R26" s="37"/>
      <c r="S26" s="57"/>
    </row>
    <row r="27" spans="1:19" s="60" customFormat="1" x14ac:dyDescent="0.25">
      <c r="A27" s="58"/>
      <c r="B27" s="46">
        <f>ROW(B27) - ROW($B$9)</f>
        <v>18</v>
      </c>
      <c r="C27" s="52" t="s">
        <v>13</v>
      </c>
      <c r="D27" s="72" t="s">
        <v>398</v>
      </c>
      <c r="E27" s="37" t="s">
        <v>74</v>
      </c>
      <c r="F27" s="37" t="s">
        <v>131</v>
      </c>
      <c r="G27" s="37" t="s">
        <v>168</v>
      </c>
      <c r="H27" s="37" t="s">
        <v>212</v>
      </c>
      <c r="I27" s="37" t="s">
        <v>335</v>
      </c>
      <c r="J27" s="37" t="s">
        <v>256</v>
      </c>
      <c r="K27" s="50" t="s">
        <v>335</v>
      </c>
      <c r="L27" s="37">
        <v>3</v>
      </c>
      <c r="M27" s="37">
        <f t="shared" si="2"/>
        <v>15</v>
      </c>
      <c r="N27" s="50">
        <v>20</v>
      </c>
      <c r="O27" s="65" t="s">
        <v>341</v>
      </c>
      <c r="P27" s="38">
        <v>3.2199999999999999E-2</v>
      </c>
      <c r="Q27" s="51">
        <f t="shared" ref="Q27" si="10">P27*N27</f>
        <v>0.64400000000000002</v>
      </c>
      <c r="R27" s="50"/>
      <c r="S27" s="57"/>
    </row>
    <row r="28" spans="1:19" s="60" customFormat="1" x14ac:dyDescent="0.25">
      <c r="A28" s="58"/>
      <c r="B28" s="47">
        <f t="shared" si="6"/>
        <v>19</v>
      </c>
      <c r="C28" s="53" t="s">
        <v>13</v>
      </c>
      <c r="D28" s="73" t="s">
        <v>399</v>
      </c>
      <c r="E28" s="50" t="s">
        <v>75</v>
      </c>
      <c r="F28" s="50" t="s">
        <v>132</v>
      </c>
      <c r="G28" s="50" t="s">
        <v>169</v>
      </c>
      <c r="H28" s="50" t="s">
        <v>218</v>
      </c>
      <c r="I28" s="50" t="s">
        <v>335</v>
      </c>
      <c r="J28" s="50" t="s">
        <v>257</v>
      </c>
      <c r="K28" s="50" t="s">
        <v>335</v>
      </c>
      <c r="L28" s="50">
        <v>4</v>
      </c>
      <c r="M28" s="37">
        <f t="shared" si="2"/>
        <v>20</v>
      </c>
      <c r="N28" s="37">
        <v>25</v>
      </c>
      <c r="O28" s="66" t="s">
        <v>341</v>
      </c>
      <c r="P28" s="51">
        <v>0.1399</v>
      </c>
      <c r="Q28" s="38">
        <f>P28*N28</f>
        <v>3.4975000000000001</v>
      </c>
      <c r="R28" s="37"/>
      <c r="S28" s="57"/>
    </row>
    <row r="29" spans="1:19" s="60" customFormat="1" ht="24" x14ac:dyDescent="0.25">
      <c r="A29" s="58"/>
      <c r="B29" s="46">
        <f>ROW(B29) - ROW($B$9)</f>
        <v>20</v>
      </c>
      <c r="C29" s="52" t="s">
        <v>14</v>
      </c>
      <c r="D29" s="72" t="s">
        <v>33</v>
      </c>
      <c r="E29" s="37" t="s">
        <v>76</v>
      </c>
      <c r="F29" s="37" t="s">
        <v>337</v>
      </c>
      <c r="G29" s="37" t="s">
        <v>170</v>
      </c>
      <c r="H29" s="37" t="s">
        <v>219</v>
      </c>
      <c r="I29" s="37" t="s">
        <v>335</v>
      </c>
      <c r="J29" s="37" t="s">
        <v>258</v>
      </c>
      <c r="K29" s="50" t="s">
        <v>335</v>
      </c>
      <c r="L29" s="37">
        <v>1</v>
      </c>
      <c r="M29" s="37">
        <f t="shared" si="2"/>
        <v>5</v>
      </c>
      <c r="N29" s="50">
        <v>10</v>
      </c>
      <c r="O29" s="65" t="s">
        <v>341</v>
      </c>
      <c r="P29" s="38">
        <v>0.21740000000000001</v>
      </c>
      <c r="Q29" s="51">
        <f t="shared" ref="Q29" si="11">P29*N29</f>
        <v>2.1739999999999999</v>
      </c>
      <c r="R29" s="50"/>
      <c r="S29" s="57"/>
    </row>
    <row r="30" spans="1:19" s="60" customFormat="1" ht="24" x14ac:dyDescent="0.25">
      <c r="A30" s="58"/>
      <c r="B30" s="47">
        <f t="shared" si="6"/>
        <v>21</v>
      </c>
      <c r="C30" s="53" t="s">
        <v>15</v>
      </c>
      <c r="D30" s="73" t="s">
        <v>34</v>
      </c>
      <c r="E30" s="50" t="s">
        <v>77</v>
      </c>
      <c r="F30" s="50" t="s">
        <v>337</v>
      </c>
      <c r="G30" s="50" t="s">
        <v>171</v>
      </c>
      <c r="H30" s="50" t="s">
        <v>220</v>
      </c>
      <c r="I30" s="50" t="s">
        <v>335</v>
      </c>
      <c r="J30" s="50" t="s">
        <v>259</v>
      </c>
      <c r="K30" s="50" t="s">
        <v>335</v>
      </c>
      <c r="L30" s="50">
        <v>1</v>
      </c>
      <c r="M30" s="37">
        <f t="shared" si="2"/>
        <v>5</v>
      </c>
      <c r="N30" s="37">
        <v>20</v>
      </c>
      <c r="O30" s="66" t="s">
        <v>341</v>
      </c>
      <c r="P30" s="51">
        <v>3.39E-2</v>
      </c>
      <c r="Q30" s="38">
        <f>P30*N30</f>
        <v>0.67799999999999994</v>
      </c>
      <c r="R30" s="37"/>
      <c r="S30" s="57"/>
    </row>
    <row r="31" spans="1:19" s="60" customFormat="1" ht="24" x14ac:dyDescent="0.25">
      <c r="A31" s="58"/>
      <c r="B31" s="46">
        <f>ROW(B31) - ROW($B$9)</f>
        <v>22</v>
      </c>
      <c r="C31" s="52" t="s">
        <v>16</v>
      </c>
      <c r="D31" s="72" t="s">
        <v>35</v>
      </c>
      <c r="E31" s="37" t="s">
        <v>78</v>
      </c>
      <c r="F31" s="37" t="s">
        <v>337</v>
      </c>
      <c r="G31" s="37" t="s">
        <v>172</v>
      </c>
      <c r="H31" s="37" t="s">
        <v>221</v>
      </c>
      <c r="I31" s="37" t="s">
        <v>335</v>
      </c>
      <c r="J31" s="37" t="s">
        <v>172</v>
      </c>
      <c r="K31" s="50" t="s">
        <v>335</v>
      </c>
      <c r="L31" s="37">
        <v>1</v>
      </c>
      <c r="M31" s="37">
        <f t="shared" si="2"/>
        <v>5</v>
      </c>
      <c r="N31" s="50">
        <v>12</v>
      </c>
      <c r="O31" s="65" t="s">
        <v>341</v>
      </c>
      <c r="P31" s="38">
        <v>7.1999999999999995E-2</v>
      </c>
      <c r="Q31" s="51">
        <f t="shared" ref="Q31" si="12">P31*N31</f>
        <v>0.86399999999999988</v>
      </c>
      <c r="R31" s="50"/>
      <c r="S31" s="57"/>
    </row>
    <row r="32" spans="1:19" s="60" customFormat="1" ht="48" x14ac:dyDescent="0.25">
      <c r="A32" s="58"/>
      <c r="B32" s="47">
        <f t="shared" si="6"/>
        <v>23</v>
      </c>
      <c r="C32" s="53" t="s">
        <v>15</v>
      </c>
      <c r="D32" s="61" t="s">
        <v>36</v>
      </c>
      <c r="E32" s="61" t="s">
        <v>79</v>
      </c>
      <c r="F32" s="61" t="s">
        <v>337</v>
      </c>
      <c r="G32" s="61" t="s">
        <v>133</v>
      </c>
      <c r="H32" s="61" t="s">
        <v>222</v>
      </c>
      <c r="I32" s="61" t="s">
        <v>335</v>
      </c>
      <c r="J32" s="61" t="s">
        <v>260</v>
      </c>
      <c r="K32" s="61" t="s">
        <v>307</v>
      </c>
      <c r="L32" s="61">
        <v>1</v>
      </c>
      <c r="M32" s="37">
        <f t="shared" si="2"/>
        <v>5</v>
      </c>
      <c r="N32" s="37" t="s">
        <v>335</v>
      </c>
      <c r="O32" s="61" t="s">
        <v>335</v>
      </c>
      <c r="P32" s="64" t="s">
        <v>335</v>
      </c>
      <c r="Q32" s="38" t="s">
        <v>335</v>
      </c>
      <c r="R32" s="67" t="s">
        <v>342</v>
      </c>
      <c r="S32" s="57"/>
    </row>
    <row r="33" spans="1:19" s="60" customFormat="1" x14ac:dyDescent="0.25">
      <c r="A33" s="58"/>
      <c r="B33" s="46">
        <f>ROW(B33) - ROW($B$9)</f>
        <v>24</v>
      </c>
      <c r="C33" s="52" t="s">
        <v>17</v>
      </c>
      <c r="D33" s="72" t="s">
        <v>37</v>
      </c>
      <c r="E33" s="37" t="s">
        <v>80</v>
      </c>
      <c r="F33" s="37" t="s">
        <v>134</v>
      </c>
      <c r="G33" s="62">
        <v>61300211121</v>
      </c>
      <c r="H33" s="37" t="s">
        <v>223</v>
      </c>
      <c r="I33" s="37" t="s">
        <v>345</v>
      </c>
      <c r="J33" s="37" t="s">
        <v>346</v>
      </c>
      <c r="K33" s="37" t="s">
        <v>335</v>
      </c>
      <c r="L33" s="37">
        <v>2</v>
      </c>
      <c r="M33" s="37">
        <f t="shared" si="2"/>
        <v>10</v>
      </c>
      <c r="N33" s="73">
        <v>50</v>
      </c>
      <c r="O33" s="65" t="s">
        <v>341</v>
      </c>
      <c r="P33" s="38">
        <v>1.1900000000000001E-2</v>
      </c>
      <c r="Q33" s="76">
        <f>P33*N33</f>
        <v>0.59500000000000008</v>
      </c>
      <c r="R33" s="75"/>
      <c r="S33" s="74"/>
    </row>
    <row r="34" spans="1:19" s="60" customFormat="1" ht="36" x14ac:dyDescent="0.25">
      <c r="A34" s="58"/>
      <c r="B34" s="47">
        <f t="shared" si="6"/>
        <v>25</v>
      </c>
      <c r="C34" s="53" t="s">
        <v>18</v>
      </c>
      <c r="D34" s="73" t="s">
        <v>38</v>
      </c>
      <c r="E34" s="50" t="s">
        <v>81</v>
      </c>
      <c r="F34" s="50" t="s">
        <v>337</v>
      </c>
      <c r="G34" s="50" t="s">
        <v>173</v>
      </c>
      <c r="H34" s="50" t="s">
        <v>224</v>
      </c>
      <c r="I34" s="50" t="s">
        <v>335</v>
      </c>
      <c r="J34" s="50" t="s">
        <v>261</v>
      </c>
      <c r="K34" s="50" t="s">
        <v>308</v>
      </c>
      <c r="L34" s="50">
        <v>1</v>
      </c>
      <c r="M34" s="37">
        <f t="shared" si="2"/>
        <v>5</v>
      </c>
      <c r="N34" s="37">
        <v>10</v>
      </c>
      <c r="O34" s="66" t="s">
        <v>341</v>
      </c>
      <c r="P34" s="51">
        <v>0.27589999999999998</v>
      </c>
      <c r="Q34" s="38">
        <f>P34*N34</f>
        <v>2.7589999999999999</v>
      </c>
      <c r="R34" s="37"/>
      <c r="S34" s="57"/>
    </row>
    <row r="35" spans="1:19" s="60" customFormat="1" ht="36" x14ac:dyDescent="0.25">
      <c r="A35" s="58"/>
      <c r="B35" s="46">
        <f>ROW(B35) - ROW($B$9)</f>
        <v>26</v>
      </c>
      <c r="C35" s="52" t="s">
        <v>18</v>
      </c>
      <c r="D35" s="72" t="s">
        <v>39</v>
      </c>
      <c r="E35" s="37" t="s">
        <v>82</v>
      </c>
      <c r="F35" s="37" t="s">
        <v>337</v>
      </c>
      <c r="G35" s="37" t="s">
        <v>174</v>
      </c>
      <c r="H35" s="37" t="s">
        <v>224</v>
      </c>
      <c r="I35" s="37" t="s">
        <v>335</v>
      </c>
      <c r="J35" s="37" t="s">
        <v>262</v>
      </c>
      <c r="K35" s="37" t="s">
        <v>309</v>
      </c>
      <c r="L35" s="37">
        <v>1</v>
      </c>
      <c r="M35" s="37">
        <f t="shared" si="2"/>
        <v>5</v>
      </c>
      <c r="N35" s="50">
        <v>6</v>
      </c>
      <c r="O35" s="65" t="s">
        <v>341</v>
      </c>
      <c r="P35" s="38">
        <v>0.48070000000000002</v>
      </c>
      <c r="Q35" s="51">
        <f t="shared" ref="Q35" si="13">P35*N35</f>
        <v>2.8841999999999999</v>
      </c>
      <c r="R35" s="50"/>
      <c r="S35" s="57"/>
    </row>
    <row r="36" spans="1:19" s="60" customFormat="1" ht="24" x14ac:dyDescent="0.25">
      <c r="A36" s="58"/>
      <c r="B36" s="47">
        <f t="shared" si="6"/>
        <v>27</v>
      </c>
      <c r="C36" s="53" t="s">
        <v>19</v>
      </c>
      <c r="D36" s="73" t="s">
        <v>40</v>
      </c>
      <c r="E36" s="50" t="s">
        <v>83</v>
      </c>
      <c r="F36" s="50" t="s">
        <v>135</v>
      </c>
      <c r="G36" s="50" t="s">
        <v>175</v>
      </c>
      <c r="H36" s="50" t="s">
        <v>225</v>
      </c>
      <c r="I36" s="50" t="s">
        <v>335</v>
      </c>
      <c r="J36" s="50" t="s">
        <v>263</v>
      </c>
      <c r="K36" s="50" t="s">
        <v>335</v>
      </c>
      <c r="L36" s="50">
        <v>1</v>
      </c>
      <c r="M36" s="37">
        <f t="shared" si="2"/>
        <v>5</v>
      </c>
      <c r="N36" s="37">
        <v>20</v>
      </c>
      <c r="O36" s="66" t="s">
        <v>341</v>
      </c>
      <c r="P36" s="51">
        <v>2.6499999999999999E-2</v>
      </c>
      <c r="Q36" s="38">
        <f>P36*N36</f>
        <v>0.53</v>
      </c>
      <c r="R36" s="37"/>
      <c r="S36" s="57"/>
    </row>
    <row r="37" spans="1:19" s="60" customFormat="1" ht="24" x14ac:dyDescent="0.25">
      <c r="A37" s="58"/>
      <c r="B37" s="46">
        <f>ROW(B37) - ROW($B$9)</f>
        <v>28</v>
      </c>
      <c r="C37" s="52" t="s">
        <v>19</v>
      </c>
      <c r="D37" s="72" t="s">
        <v>41</v>
      </c>
      <c r="E37" s="37" t="s">
        <v>84</v>
      </c>
      <c r="F37" s="37" t="s">
        <v>135</v>
      </c>
      <c r="G37" s="37" t="s">
        <v>176</v>
      </c>
      <c r="H37" s="37" t="s">
        <v>225</v>
      </c>
      <c r="I37" s="37" t="s">
        <v>335</v>
      </c>
      <c r="J37" s="37" t="s">
        <v>264</v>
      </c>
      <c r="K37" s="37" t="s">
        <v>335</v>
      </c>
      <c r="L37" s="37">
        <v>1</v>
      </c>
      <c r="M37" s="37">
        <f t="shared" si="2"/>
        <v>5</v>
      </c>
      <c r="N37" s="50">
        <v>20</v>
      </c>
      <c r="O37" s="65" t="s">
        <v>341</v>
      </c>
      <c r="P37" s="38">
        <v>2.3300000000000001E-2</v>
      </c>
      <c r="Q37" s="51">
        <f t="shared" ref="Q37" si="14">P37*N37</f>
        <v>0.46600000000000003</v>
      </c>
      <c r="R37" s="50"/>
      <c r="S37" s="57"/>
    </row>
    <row r="38" spans="1:19" s="60" customFormat="1" ht="24" x14ac:dyDescent="0.25">
      <c r="A38" s="58"/>
      <c r="B38" s="47">
        <f t="shared" si="6"/>
        <v>29</v>
      </c>
      <c r="C38" s="53" t="s">
        <v>19</v>
      </c>
      <c r="D38" s="73" t="s">
        <v>42</v>
      </c>
      <c r="E38" s="50" t="s">
        <v>85</v>
      </c>
      <c r="F38" s="50" t="s">
        <v>135</v>
      </c>
      <c r="G38" s="50" t="s">
        <v>177</v>
      </c>
      <c r="H38" s="50" t="s">
        <v>225</v>
      </c>
      <c r="I38" s="50" t="s">
        <v>335</v>
      </c>
      <c r="J38" s="50" t="s">
        <v>265</v>
      </c>
      <c r="K38" s="37" t="s">
        <v>335</v>
      </c>
      <c r="L38" s="50">
        <v>1</v>
      </c>
      <c r="M38" s="37">
        <f t="shared" si="2"/>
        <v>5</v>
      </c>
      <c r="N38" s="37">
        <v>20</v>
      </c>
      <c r="O38" s="66" t="s">
        <v>341</v>
      </c>
      <c r="P38" s="51">
        <v>3.2199999999999999E-2</v>
      </c>
      <c r="Q38" s="38">
        <f>P38*N38</f>
        <v>0.64400000000000002</v>
      </c>
      <c r="R38" s="37"/>
      <c r="S38" s="57"/>
    </row>
    <row r="39" spans="1:19" s="60" customFormat="1" ht="36" x14ac:dyDescent="0.25">
      <c r="A39" s="58"/>
      <c r="B39" s="46">
        <f>ROW(B39) - ROW($B$9)</f>
        <v>30</v>
      </c>
      <c r="C39" s="52" t="s">
        <v>20</v>
      </c>
      <c r="D39" s="72" t="s">
        <v>43</v>
      </c>
      <c r="E39" s="37" t="s">
        <v>86</v>
      </c>
      <c r="F39" s="37" t="s">
        <v>136</v>
      </c>
      <c r="G39" s="37" t="s">
        <v>178</v>
      </c>
      <c r="H39" s="37" t="s">
        <v>226</v>
      </c>
      <c r="I39" s="37" t="s">
        <v>335</v>
      </c>
      <c r="J39" s="37" t="s">
        <v>266</v>
      </c>
      <c r="K39" s="37" t="s">
        <v>335</v>
      </c>
      <c r="L39" s="37">
        <v>1</v>
      </c>
      <c r="M39" s="37">
        <f t="shared" si="2"/>
        <v>5</v>
      </c>
      <c r="N39" s="50">
        <v>10</v>
      </c>
      <c r="O39" s="65" t="s">
        <v>341</v>
      </c>
      <c r="P39" s="38">
        <v>0.18590000000000001</v>
      </c>
      <c r="Q39" s="51">
        <f t="shared" ref="Q39:Q41" si="15">P39*N39</f>
        <v>1.859</v>
      </c>
      <c r="R39" s="50"/>
      <c r="S39" s="57"/>
    </row>
    <row r="40" spans="1:19" s="60" customFormat="1" ht="24" x14ac:dyDescent="0.25">
      <c r="A40" s="58"/>
      <c r="B40" s="47">
        <f t="shared" si="6"/>
        <v>31</v>
      </c>
      <c r="C40" s="53" t="s">
        <v>21</v>
      </c>
      <c r="D40" s="61" t="s">
        <v>400</v>
      </c>
      <c r="E40" s="61" t="s">
        <v>87</v>
      </c>
      <c r="F40" s="61" t="s">
        <v>337</v>
      </c>
      <c r="G40" s="61" t="s">
        <v>335</v>
      </c>
      <c r="H40" s="61" t="s">
        <v>335</v>
      </c>
      <c r="I40" s="61" t="s">
        <v>335</v>
      </c>
      <c r="J40" s="61" t="s">
        <v>335</v>
      </c>
      <c r="K40" s="62" t="s">
        <v>335</v>
      </c>
      <c r="L40" s="61">
        <v>14</v>
      </c>
      <c r="M40" s="37">
        <f t="shared" si="2"/>
        <v>70</v>
      </c>
      <c r="N40" s="37" t="s">
        <v>335</v>
      </c>
      <c r="O40" s="61" t="s">
        <v>335</v>
      </c>
      <c r="P40" s="61" t="s">
        <v>335</v>
      </c>
      <c r="Q40" s="51" t="s">
        <v>335</v>
      </c>
      <c r="R40" s="67" t="s">
        <v>342</v>
      </c>
      <c r="S40" s="57"/>
    </row>
    <row r="41" spans="1:19" s="60" customFormat="1" ht="24" x14ac:dyDescent="0.25">
      <c r="A41" s="58"/>
      <c r="B41" s="46">
        <f>ROW(B41) - ROW($B$9)</f>
        <v>32</v>
      </c>
      <c r="C41" s="52" t="s">
        <v>22</v>
      </c>
      <c r="D41" s="72" t="s">
        <v>44</v>
      </c>
      <c r="E41" s="37" t="s">
        <v>88</v>
      </c>
      <c r="F41" s="37" t="s">
        <v>137</v>
      </c>
      <c r="G41" s="37" t="s">
        <v>179</v>
      </c>
      <c r="H41" s="37" t="s">
        <v>227</v>
      </c>
      <c r="I41" s="37" t="s">
        <v>335</v>
      </c>
      <c r="J41" s="37" t="s">
        <v>267</v>
      </c>
      <c r="K41" s="37" t="s">
        <v>335</v>
      </c>
      <c r="L41" s="37">
        <v>1</v>
      </c>
      <c r="M41" s="37">
        <f t="shared" si="2"/>
        <v>5</v>
      </c>
      <c r="N41" s="73">
        <v>10</v>
      </c>
      <c r="O41" s="65" t="s">
        <v>341</v>
      </c>
      <c r="P41" s="38">
        <v>0.11609999999999999</v>
      </c>
      <c r="Q41" s="51">
        <f t="shared" si="15"/>
        <v>1.161</v>
      </c>
      <c r="R41" s="61"/>
      <c r="S41" s="61" t="s">
        <v>335</v>
      </c>
    </row>
    <row r="42" spans="1:19" s="60" customFormat="1" ht="36" x14ac:dyDescent="0.25">
      <c r="A42" s="58"/>
      <c r="B42" s="47">
        <f t="shared" si="6"/>
        <v>33</v>
      </c>
      <c r="C42" s="53" t="s">
        <v>22</v>
      </c>
      <c r="D42" s="73" t="s">
        <v>401</v>
      </c>
      <c r="E42" s="50" t="s">
        <v>89</v>
      </c>
      <c r="F42" s="50" t="s">
        <v>138</v>
      </c>
      <c r="G42" s="50" t="s">
        <v>180</v>
      </c>
      <c r="H42" s="50" t="s">
        <v>228</v>
      </c>
      <c r="I42" s="50" t="s">
        <v>335</v>
      </c>
      <c r="J42" s="50" t="s">
        <v>268</v>
      </c>
      <c r="K42" s="37" t="s">
        <v>335</v>
      </c>
      <c r="L42" s="50">
        <v>2</v>
      </c>
      <c r="M42" s="37">
        <f t="shared" si="2"/>
        <v>10</v>
      </c>
      <c r="N42" s="37">
        <v>20</v>
      </c>
      <c r="O42" s="66" t="s">
        <v>341</v>
      </c>
      <c r="P42" s="51">
        <v>4.6899999999999997E-2</v>
      </c>
      <c r="Q42" s="38">
        <f>P42*N42</f>
        <v>0.93799999999999994</v>
      </c>
      <c r="R42" s="37"/>
      <c r="S42" s="57"/>
    </row>
    <row r="43" spans="1:19" s="60" customFormat="1" ht="48" x14ac:dyDescent="0.25">
      <c r="A43" s="58"/>
      <c r="B43" s="46">
        <f t="shared" si="6"/>
        <v>34</v>
      </c>
      <c r="C43" s="52" t="s">
        <v>22</v>
      </c>
      <c r="D43" s="72" t="s">
        <v>45</v>
      </c>
      <c r="E43" s="37" t="s">
        <v>90</v>
      </c>
      <c r="F43" s="37" t="s">
        <v>139</v>
      </c>
      <c r="G43" s="37" t="s">
        <v>181</v>
      </c>
      <c r="H43" s="37" t="s">
        <v>229</v>
      </c>
      <c r="I43" s="37" t="s">
        <v>335</v>
      </c>
      <c r="J43" s="37" t="s">
        <v>269</v>
      </c>
      <c r="K43" s="37" t="s">
        <v>335</v>
      </c>
      <c r="L43" s="37">
        <v>4</v>
      </c>
      <c r="M43" s="37">
        <f t="shared" si="2"/>
        <v>20</v>
      </c>
      <c r="N43" s="50">
        <v>40</v>
      </c>
      <c r="O43" s="65" t="s">
        <v>341</v>
      </c>
      <c r="P43" s="38">
        <v>3.2800000000000003E-2</v>
      </c>
      <c r="Q43" s="51">
        <f t="shared" ref="Q43:Q44" si="16">P43*N43</f>
        <v>1.3120000000000001</v>
      </c>
      <c r="R43" s="50"/>
      <c r="S43" s="57"/>
    </row>
    <row r="44" spans="1:19" x14ac:dyDescent="0.25">
      <c r="A44" s="1"/>
      <c r="B44" s="47">
        <f t="shared" si="6"/>
        <v>35</v>
      </c>
      <c r="C44" s="53" t="s">
        <v>23</v>
      </c>
      <c r="D44" s="73" t="s">
        <v>402</v>
      </c>
      <c r="E44" s="50" t="s">
        <v>403</v>
      </c>
      <c r="F44" s="50" t="s">
        <v>404</v>
      </c>
      <c r="G44" s="50" t="s">
        <v>405</v>
      </c>
      <c r="H44" s="50" t="s">
        <v>209</v>
      </c>
      <c r="I44" s="50" t="s">
        <v>335</v>
      </c>
      <c r="J44" s="50" t="s">
        <v>406</v>
      </c>
      <c r="K44" s="50" t="s">
        <v>407</v>
      </c>
      <c r="L44" s="50">
        <v>1</v>
      </c>
      <c r="M44" s="50">
        <f t="shared" si="2"/>
        <v>5</v>
      </c>
      <c r="N44" s="50">
        <v>100</v>
      </c>
      <c r="O44" s="66" t="s">
        <v>341</v>
      </c>
      <c r="P44" s="51">
        <v>1.5E-3</v>
      </c>
      <c r="Q44" s="51">
        <f t="shared" si="16"/>
        <v>0.15</v>
      </c>
      <c r="R44" s="50"/>
      <c r="S44" s="57"/>
    </row>
    <row r="45" spans="1:19" s="60" customFormat="1" x14ac:dyDescent="0.25">
      <c r="A45" s="58"/>
      <c r="B45" s="47">
        <f>ROW(B45) - ROW($B$9)</f>
        <v>36</v>
      </c>
      <c r="C45" s="53" t="s">
        <v>23</v>
      </c>
      <c r="D45" s="73" t="s">
        <v>363</v>
      </c>
      <c r="E45" s="50" t="s">
        <v>91</v>
      </c>
      <c r="F45" s="50" t="s">
        <v>140</v>
      </c>
      <c r="G45" s="50" t="s">
        <v>182</v>
      </c>
      <c r="H45" s="50" t="s">
        <v>209</v>
      </c>
      <c r="I45" s="50" t="s">
        <v>335</v>
      </c>
      <c r="J45" s="50" t="s">
        <v>270</v>
      </c>
      <c r="K45" s="50" t="s">
        <v>310</v>
      </c>
      <c r="L45" s="50">
        <v>4</v>
      </c>
      <c r="M45" s="37">
        <f>L45*5</f>
        <v>20</v>
      </c>
      <c r="N45" s="37">
        <v>100</v>
      </c>
      <c r="O45" s="66" t="s">
        <v>341</v>
      </c>
      <c r="P45" s="51">
        <v>1.1000000000000001E-3</v>
      </c>
      <c r="Q45" s="38">
        <f>P45*N45</f>
        <v>0.11</v>
      </c>
      <c r="R45" s="37"/>
      <c r="S45" s="57"/>
    </row>
    <row r="46" spans="1:19" s="60" customFormat="1" ht="24" x14ac:dyDescent="0.25">
      <c r="A46" s="58"/>
      <c r="B46" s="46">
        <f t="shared" si="6"/>
        <v>37</v>
      </c>
      <c r="C46" s="53" t="s">
        <v>23</v>
      </c>
      <c r="D46" s="73" t="s">
        <v>408</v>
      </c>
      <c r="E46" s="37" t="s">
        <v>92</v>
      </c>
      <c r="F46" s="37" t="s">
        <v>140</v>
      </c>
      <c r="G46" s="37" t="s">
        <v>183</v>
      </c>
      <c r="H46" s="37" t="s">
        <v>209</v>
      </c>
      <c r="I46" s="37" t="s">
        <v>335</v>
      </c>
      <c r="J46" s="37" t="s">
        <v>271</v>
      </c>
      <c r="K46" s="37" t="s">
        <v>311</v>
      </c>
      <c r="L46" s="37">
        <v>13</v>
      </c>
      <c r="M46" s="37">
        <f t="shared" si="2"/>
        <v>65</v>
      </c>
      <c r="N46" s="37">
        <v>100</v>
      </c>
      <c r="O46" s="65" t="s">
        <v>341</v>
      </c>
      <c r="P46" s="38">
        <v>1E-3</v>
      </c>
      <c r="Q46" s="38">
        <f>P46*N46</f>
        <v>0.1</v>
      </c>
      <c r="R46" s="37"/>
      <c r="S46" s="57"/>
    </row>
    <row r="47" spans="1:19" s="60" customFormat="1" ht="36" x14ac:dyDescent="0.25">
      <c r="A47" s="58"/>
      <c r="B47" s="46">
        <f t="shared" si="6"/>
        <v>38</v>
      </c>
      <c r="C47" s="52" t="s">
        <v>23</v>
      </c>
      <c r="D47" s="72" t="s">
        <v>364</v>
      </c>
      <c r="E47" s="37" t="s">
        <v>93</v>
      </c>
      <c r="F47" s="37" t="s">
        <v>141</v>
      </c>
      <c r="G47" s="37" t="s">
        <v>184</v>
      </c>
      <c r="H47" s="37" t="s">
        <v>230</v>
      </c>
      <c r="I47" s="37" t="s">
        <v>335</v>
      </c>
      <c r="J47" s="37" t="s">
        <v>272</v>
      </c>
      <c r="K47" s="37" t="s">
        <v>312</v>
      </c>
      <c r="L47" s="37">
        <v>1</v>
      </c>
      <c r="M47" s="37">
        <f t="shared" si="2"/>
        <v>5</v>
      </c>
      <c r="N47" s="50">
        <v>50</v>
      </c>
      <c r="O47" s="65" t="s">
        <v>341</v>
      </c>
      <c r="P47" s="38">
        <v>9.9000000000000008E-3</v>
      </c>
      <c r="Q47" s="51">
        <f t="shared" ref="Q47" si="17">P47*N47</f>
        <v>0.49500000000000005</v>
      </c>
      <c r="R47" s="50"/>
      <c r="S47" s="57"/>
    </row>
    <row r="48" spans="1:19" s="60" customFormat="1" x14ac:dyDescent="0.25">
      <c r="A48" s="58"/>
      <c r="B48" s="46">
        <f t="shared" si="6"/>
        <v>39</v>
      </c>
      <c r="C48" s="53" t="s">
        <v>23</v>
      </c>
      <c r="D48" s="73" t="s">
        <v>365</v>
      </c>
      <c r="E48" s="37" t="s">
        <v>96</v>
      </c>
      <c r="F48" s="37" t="s">
        <v>140</v>
      </c>
      <c r="G48" s="37" t="s">
        <v>187</v>
      </c>
      <c r="H48" s="37" t="s">
        <v>209</v>
      </c>
      <c r="I48" s="37" t="s">
        <v>335</v>
      </c>
      <c r="J48" s="37" t="s">
        <v>274</v>
      </c>
      <c r="K48" s="37" t="s">
        <v>315</v>
      </c>
      <c r="L48" s="37">
        <v>1</v>
      </c>
      <c r="M48" s="37">
        <f t="shared" si="2"/>
        <v>5</v>
      </c>
      <c r="N48" s="37">
        <v>20</v>
      </c>
      <c r="O48" s="65" t="s">
        <v>341</v>
      </c>
      <c r="P48" s="38">
        <v>2.5399999999999999E-2</v>
      </c>
      <c r="Q48" s="38">
        <f>P48*N48</f>
        <v>0.50800000000000001</v>
      </c>
      <c r="R48" s="37"/>
      <c r="S48" s="57"/>
    </row>
    <row r="49" spans="1:19" s="60" customFormat="1" x14ac:dyDescent="0.25">
      <c r="A49" s="58"/>
      <c r="B49" s="47">
        <f t="shared" si="6"/>
        <v>40</v>
      </c>
      <c r="C49" s="53" t="s">
        <v>23</v>
      </c>
      <c r="D49" s="72" t="s">
        <v>366</v>
      </c>
      <c r="E49" s="50" t="s">
        <v>97</v>
      </c>
      <c r="F49" s="50" t="s">
        <v>140</v>
      </c>
      <c r="G49" s="50" t="s">
        <v>188</v>
      </c>
      <c r="H49" s="50" t="s">
        <v>209</v>
      </c>
      <c r="I49" s="50" t="s">
        <v>335</v>
      </c>
      <c r="J49" s="50" t="s">
        <v>275</v>
      </c>
      <c r="K49" s="50" t="s">
        <v>316</v>
      </c>
      <c r="L49" s="50">
        <v>1</v>
      </c>
      <c r="M49" s="37">
        <f t="shared" si="2"/>
        <v>5</v>
      </c>
      <c r="N49" s="50">
        <v>100</v>
      </c>
      <c r="O49" s="66" t="s">
        <v>341</v>
      </c>
      <c r="P49" s="51">
        <v>1.2999999999999999E-3</v>
      </c>
      <c r="Q49" s="51">
        <f t="shared" ref="Q49" si="18">P49*N49</f>
        <v>0.13</v>
      </c>
      <c r="R49" s="50"/>
      <c r="S49" s="57"/>
    </row>
    <row r="50" spans="1:19" s="60" customFormat="1" x14ac:dyDescent="0.25">
      <c r="A50" s="58"/>
      <c r="B50" s="47">
        <f t="shared" si="6"/>
        <v>41</v>
      </c>
      <c r="C50" s="53" t="s">
        <v>23</v>
      </c>
      <c r="D50" s="73" t="s">
        <v>46</v>
      </c>
      <c r="E50" s="50" t="s">
        <v>99</v>
      </c>
      <c r="F50" s="50" t="s">
        <v>140</v>
      </c>
      <c r="G50" s="50" t="s">
        <v>190</v>
      </c>
      <c r="H50" s="50" t="s">
        <v>209</v>
      </c>
      <c r="I50" s="50" t="s">
        <v>335</v>
      </c>
      <c r="J50" s="50" t="s">
        <v>277</v>
      </c>
      <c r="K50" s="50" t="s">
        <v>318</v>
      </c>
      <c r="L50" s="50">
        <v>1</v>
      </c>
      <c r="M50" s="37">
        <f t="shared" si="2"/>
        <v>5</v>
      </c>
      <c r="N50" s="37">
        <v>100</v>
      </c>
      <c r="O50" s="66" t="s">
        <v>341</v>
      </c>
      <c r="P50" s="51">
        <v>1.1999999999999999E-3</v>
      </c>
      <c r="Q50" s="38">
        <f>P50*N50</f>
        <v>0.12</v>
      </c>
      <c r="R50" s="37"/>
      <c r="S50" s="57"/>
    </row>
    <row r="51" spans="1:19" s="60" customFormat="1" x14ac:dyDescent="0.25">
      <c r="A51" s="58"/>
      <c r="B51" s="46">
        <f t="shared" si="6"/>
        <v>42</v>
      </c>
      <c r="C51" s="52" t="s">
        <v>23</v>
      </c>
      <c r="D51" s="72" t="s">
        <v>47</v>
      </c>
      <c r="E51" s="37" t="s">
        <v>100</v>
      </c>
      <c r="F51" s="37" t="s">
        <v>140</v>
      </c>
      <c r="G51" s="37" t="s">
        <v>191</v>
      </c>
      <c r="H51" s="37" t="s">
        <v>209</v>
      </c>
      <c r="I51" s="37" t="s">
        <v>335</v>
      </c>
      <c r="J51" s="37" t="s">
        <v>278</v>
      </c>
      <c r="K51" s="37" t="s">
        <v>319</v>
      </c>
      <c r="L51" s="37">
        <v>1</v>
      </c>
      <c r="M51" s="37">
        <f t="shared" si="2"/>
        <v>5</v>
      </c>
      <c r="N51" s="50">
        <v>100</v>
      </c>
      <c r="O51" s="65" t="s">
        <v>341</v>
      </c>
      <c r="P51" s="38">
        <v>1.4E-3</v>
      </c>
      <c r="Q51" s="51">
        <f t="shared" ref="Q51" si="19">P51*N51</f>
        <v>0.13999999999999999</v>
      </c>
      <c r="R51" s="50"/>
      <c r="S51" s="57"/>
    </row>
    <row r="52" spans="1:19" s="60" customFormat="1" x14ac:dyDescent="0.25">
      <c r="A52" s="58"/>
      <c r="B52" s="46">
        <f t="shared" si="6"/>
        <v>43</v>
      </c>
      <c r="C52" s="53" t="s">
        <v>23</v>
      </c>
      <c r="D52" s="73" t="s">
        <v>367</v>
      </c>
      <c r="E52" s="37" t="s">
        <v>98</v>
      </c>
      <c r="F52" s="37" t="s">
        <v>140</v>
      </c>
      <c r="G52" s="37" t="s">
        <v>189</v>
      </c>
      <c r="H52" s="37" t="s">
        <v>209</v>
      </c>
      <c r="I52" s="37" t="s">
        <v>335</v>
      </c>
      <c r="J52" s="37" t="s">
        <v>276</v>
      </c>
      <c r="K52" s="37" t="s">
        <v>317</v>
      </c>
      <c r="L52" s="37">
        <v>6</v>
      </c>
      <c r="M52" s="37">
        <f t="shared" si="2"/>
        <v>30</v>
      </c>
      <c r="N52" s="37">
        <v>100</v>
      </c>
      <c r="O52" s="65" t="s">
        <v>341</v>
      </c>
      <c r="P52" s="38">
        <v>1.1000000000000001E-3</v>
      </c>
      <c r="Q52" s="38">
        <f>P52*N52</f>
        <v>0.11</v>
      </c>
      <c r="R52" s="37"/>
      <c r="S52" s="57"/>
    </row>
    <row r="53" spans="1:19" s="60" customFormat="1" x14ac:dyDescent="0.25">
      <c r="A53" s="58"/>
      <c r="B53" s="47">
        <f t="shared" si="6"/>
        <v>44</v>
      </c>
      <c r="C53" s="52" t="s">
        <v>23</v>
      </c>
      <c r="D53" s="72" t="s">
        <v>368</v>
      </c>
      <c r="E53" s="50" t="s">
        <v>101</v>
      </c>
      <c r="F53" s="50" t="s">
        <v>140</v>
      </c>
      <c r="G53" s="50" t="s">
        <v>192</v>
      </c>
      <c r="H53" s="50" t="s">
        <v>209</v>
      </c>
      <c r="I53" s="50" t="s">
        <v>335</v>
      </c>
      <c r="J53" s="50" t="s">
        <v>279</v>
      </c>
      <c r="K53" s="50" t="s">
        <v>320</v>
      </c>
      <c r="L53" s="50">
        <v>1</v>
      </c>
      <c r="M53" s="37">
        <f t="shared" si="2"/>
        <v>5</v>
      </c>
      <c r="N53" s="50">
        <v>100</v>
      </c>
      <c r="O53" s="66" t="s">
        <v>341</v>
      </c>
      <c r="P53" s="51">
        <v>1.2999999999999999E-3</v>
      </c>
      <c r="Q53" s="51">
        <f t="shared" ref="Q53" si="20">P53*N53</f>
        <v>0.13</v>
      </c>
      <c r="R53" s="50"/>
      <c r="S53" s="57"/>
    </row>
    <row r="54" spans="1:19" s="60" customFormat="1" x14ac:dyDescent="0.25">
      <c r="A54" s="58"/>
      <c r="B54" s="46">
        <f t="shared" si="6"/>
        <v>45</v>
      </c>
      <c r="C54" s="52" t="s">
        <v>23</v>
      </c>
      <c r="D54" s="73" t="s">
        <v>369</v>
      </c>
      <c r="E54" s="37" t="s">
        <v>102</v>
      </c>
      <c r="F54" s="37" t="s">
        <v>140</v>
      </c>
      <c r="G54" s="37" t="s">
        <v>193</v>
      </c>
      <c r="H54" s="37" t="s">
        <v>209</v>
      </c>
      <c r="I54" s="37" t="s">
        <v>335</v>
      </c>
      <c r="J54" s="37" t="s">
        <v>280</v>
      </c>
      <c r="K54" s="37" t="s">
        <v>321</v>
      </c>
      <c r="L54" s="37">
        <v>2</v>
      </c>
      <c r="M54" s="37">
        <f t="shared" si="2"/>
        <v>10</v>
      </c>
      <c r="N54" s="37">
        <v>100</v>
      </c>
      <c r="O54" s="65" t="s">
        <v>341</v>
      </c>
      <c r="P54" s="38">
        <v>1.1999999999999999E-3</v>
      </c>
      <c r="Q54" s="38">
        <f>P54*N54</f>
        <v>0.12</v>
      </c>
      <c r="R54" s="37"/>
      <c r="S54" s="57"/>
    </row>
    <row r="55" spans="1:19" s="60" customFormat="1" x14ac:dyDescent="0.25">
      <c r="A55" s="58"/>
      <c r="B55" s="47">
        <f t="shared" si="6"/>
        <v>46</v>
      </c>
      <c r="C55" s="53" t="s">
        <v>23</v>
      </c>
      <c r="D55" s="72" t="s">
        <v>370</v>
      </c>
      <c r="E55" s="50" t="s">
        <v>103</v>
      </c>
      <c r="F55" s="50" t="s">
        <v>140</v>
      </c>
      <c r="G55" s="50" t="s">
        <v>194</v>
      </c>
      <c r="H55" s="50" t="s">
        <v>209</v>
      </c>
      <c r="I55" s="50" t="s">
        <v>335</v>
      </c>
      <c r="J55" s="50" t="s">
        <v>281</v>
      </c>
      <c r="K55" s="50" t="s">
        <v>322</v>
      </c>
      <c r="L55" s="50">
        <v>1</v>
      </c>
      <c r="M55" s="37">
        <f t="shared" si="2"/>
        <v>5</v>
      </c>
      <c r="N55" s="50">
        <v>100</v>
      </c>
      <c r="O55" s="66" t="s">
        <v>341</v>
      </c>
      <c r="P55" s="51">
        <v>1.5E-3</v>
      </c>
      <c r="Q55" s="51">
        <f t="shared" ref="Q55" si="21">P55*N55</f>
        <v>0.15</v>
      </c>
      <c r="R55" s="50"/>
      <c r="S55" s="57"/>
    </row>
    <row r="56" spans="1:19" s="60" customFormat="1" x14ac:dyDescent="0.25">
      <c r="A56" s="58"/>
      <c r="B56" s="46">
        <f t="shared" si="6"/>
        <v>47</v>
      </c>
      <c r="C56" s="52" t="s">
        <v>23</v>
      </c>
      <c r="D56" s="73" t="s">
        <v>371</v>
      </c>
      <c r="E56" s="37" t="s">
        <v>104</v>
      </c>
      <c r="F56" s="37" t="s">
        <v>140</v>
      </c>
      <c r="G56" s="37" t="s">
        <v>195</v>
      </c>
      <c r="H56" s="37" t="s">
        <v>209</v>
      </c>
      <c r="I56" s="37" t="s">
        <v>335</v>
      </c>
      <c r="J56" s="37" t="s">
        <v>282</v>
      </c>
      <c r="K56" s="37" t="s">
        <v>323</v>
      </c>
      <c r="L56" s="37">
        <v>5</v>
      </c>
      <c r="M56" s="37">
        <f t="shared" si="2"/>
        <v>25</v>
      </c>
      <c r="N56" s="37">
        <v>100</v>
      </c>
      <c r="O56" s="65" t="s">
        <v>341</v>
      </c>
      <c r="P56" s="38">
        <v>1.1999999999999999E-3</v>
      </c>
      <c r="Q56" s="38">
        <f>P56*N56</f>
        <v>0.12</v>
      </c>
      <c r="R56" s="37"/>
      <c r="S56" s="57"/>
    </row>
    <row r="57" spans="1:19" s="60" customFormat="1" x14ac:dyDescent="0.25">
      <c r="A57" s="58"/>
      <c r="B57" s="47">
        <f t="shared" si="6"/>
        <v>48</v>
      </c>
      <c r="C57" s="53" t="s">
        <v>23</v>
      </c>
      <c r="D57" s="72" t="s">
        <v>372</v>
      </c>
      <c r="E57" s="50" t="s">
        <v>95</v>
      </c>
      <c r="F57" s="50" t="s">
        <v>140</v>
      </c>
      <c r="G57" s="50" t="s">
        <v>186</v>
      </c>
      <c r="H57" s="50" t="s">
        <v>209</v>
      </c>
      <c r="I57" s="50" t="s">
        <v>335</v>
      </c>
      <c r="J57" s="50" t="s">
        <v>338</v>
      </c>
      <c r="K57" s="50" t="s">
        <v>314</v>
      </c>
      <c r="L57" s="50">
        <v>5</v>
      </c>
      <c r="M57" s="37">
        <f t="shared" si="2"/>
        <v>25</v>
      </c>
      <c r="N57" s="50">
        <v>100</v>
      </c>
      <c r="O57" s="66" t="s">
        <v>341</v>
      </c>
      <c r="P57" s="51">
        <v>1.1000000000000001E-3</v>
      </c>
      <c r="Q57" s="51">
        <f t="shared" ref="Q57" si="22">P57*N57</f>
        <v>0.11</v>
      </c>
      <c r="R57" s="50"/>
      <c r="S57" s="57"/>
    </row>
    <row r="58" spans="1:19" s="60" customFormat="1" x14ac:dyDescent="0.25">
      <c r="A58" s="58"/>
      <c r="B58" s="47">
        <f t="shared" si="6"/>
        <v>49</v>
      </c>
      <c r="C58" s="53" t="s">
        <v>23</v>
      </c>
      <c r="D58" s="73" t="s">
        <v>373</v>
      </c>
      <c r="E58" s="50" t="s">
        <v>105</v>
      </c>
      <c r="F58" s="50" t="s">
        <v>140</v>
      </c>
      <c r="G58" s="50" t="s">
        <v>196</v>
      </c>
      <c r="H58" s="50" t="s">
        <v>209</v>
      </c>
      <c r="I58" s="50" t="s">
        <v>335</v>
      </c>
      <c r="J58" s="50" t="s">
        <v>283</v>
      </c>
      <c r="K58" s="50" t="s">
        <v>324</v>
      </c>
      <c r="L58" s="50">
        <v>2</v>
      </c>
      <c r="M58" s="37">
        <f t="shared" si="2"/>
        <v>10</v>
      </c>
      <c r="N58" s="37">
        <v>100</v>
      </c>
      <c r="O58" s="66" t="s">
        <v>341</v>
      </c>
      <c r="P58" s="51">
        <v>1.1999999999999999E-3</v>
      </c>
      <c r="Q58" s="38">
        <f>P58*N58</f>
        <v>0.12</v>
      </c>
      <c r="R58" s="37"/>
      <c r="S58" s="57"/>
    </row>
    <row r="59" spans="1:19" x14ac:dyDescent="0.25">
      <c r="A59" s="1"/>
      <c r="B59" s="46">
        <f>ROW(B59) - ROW($B$9)</f>
        <v>50</v>
      </c>
      <c r="C59" s="52" t="s">
        <v>23</v>
      </c>
      <c r="D59" s="37" t="s">
        <v>409</v>
      </c>
      <c r="E59" s="37" t="s">
        <v>94</v>
      </c>
      <c r="F59" s="37" t="s">
        <v>140</v>
      </c>
      <c r="G59" s="37" t="s">
        <v>185</v>
      </c>
      <c r="H59" s="37" t="s">
        <v>209</v>
      </c>
      <c r="I59" s="37" t="s">
        <v>335</v>
      </c>
      <c r="J59" s="37" t="s">
        <v>273</v>
      </c>
      <c r="K59" s="37" t="s">
        <v>313</v>
      </c>
      <c r="L59" s="37">
        <v>2</v>
      </c>
      <c r="M59" s="37">
        <f>L59*5</f>
        <v>10</v>
      </c>
      <c r="N59" s="37">
        <v>100</v>
      </c>
      <c r="O59" s="65" t="s">
        <v>341</v>
      </c>
      <c r="P59" s="38">
        <v>3.0999999999999999E-3</v>
      </c>
      <c r="Q59" s="38">
        <f>P59*N59</f>
        <v>0.31</v>
      </c>
      <c r="R59" s="37"/>
      <c r="S59" s="57"/>
    </row>
    <row r="60" spans="1:19" s="60" customFormat="1" x14ac:dyDescent="0.25">
      <c r="A60" s="58"/>
      <c r="B60" s="46">
        <f>ROW(B60) - ROW($B$9)</f>
        <v>51</v>
      </c>
      <c r="C60" s="52" t="s">
        <v>23</v>
      </c>
      <c r="D60" s="72" t="s">
        <v>374</v>
      </c>
      <c r="E60" s="37" t="s">
        <v>106</v>
      </c>
      <c r="F60" s="37" t="s">
        <v>140</v>
      </c>
      <c r="G60" s="37" t="s">
        <v>197</v>
      </c>
      <c r="H60" s="37" t="s">
        <v>209</v>
      </c>
      <c r="I60" s="37" t="s">
        <v>335</v>
      </c>
      <c r="J60" s="37" t="s">
        <v>284</v>
      </c>
      <c r="K60" s="37" t="s">
        <v>325</v>
      </c>
      <c r="L60" s="37">
        <v>4</v>
      </c>
      <c r="M60" s="37">
        <f t="shared" si="2"/>
        <v>20</v>
      </c>
      <c r="N60" s="50">
        <v>100</v>
      </c>
      <c r="O60" s="65" t="s">
        <v>341</v>
      </c>
      <c r="P60" s="38">
        <v>1.1999999999999999E-3</v>
      </c>
      <c r="Q60" s="51">
        <f t="shared" ref="Q60" si="23">P60*N60</f>
        <v>0.12</v>
      </c>
      <c r="R60" s="50"/>
      <c r="S60" s="57"/>
    </row>
    <row r="61" spans="1:19" s="60" customFormat="1" x14ac:dyDescent="0.25">
      <c r="A61" s="58"/>
      <c r="B61" s="47">
        <f t="shared" si="6"/>
        <v>52</v>
      </c>
      <c r="C61" s="53" t="s">
        <v>23</v>
      </c>
      <c r="D61" s="73" t="s">
        <v>375</v>
      </c>
      <c r="E61" s="50" t="s">
        <v>107</v>
      </c>
      <c r="F61" s="50" t="s">
        <v>140</v>
      </c>
      <c r="G61" s="50" t="s">
        <v>198</v>
      </c>
      <c r="H61" s="50" t="s">
        <v>209</v>
      </c>
      <c r="I61" s="50" t="s">
        <v>335</v>
      </c>
      <c r="J61" s="50" t="s">
        <v>285</v>
      </c>
      <c r="K61" s="50" t="s">
        <v>326</v>
      </c>
      <c r="L61" s="50">
        <v>1</v>
      </c>
      <c r="M61" s="37">
        <f t="shared" si="2"/>
        <v>5</v>
      </c>
      <c r="N61" s="37">
        <v>100</v>
      </c>
      <c r="O61" s="66" t="s">
        <v>341</v>
      </c>
      <c r="P61" s="51">
        <v>1.2999999999999999E-3</v>
      </c>
      <c r="Q61" s="38">
        <f>P61*N61</f>
        <v>0.13</v>
      </c>
      <c r="R61" s="37"/>
      <c r="S61" s="57"/>
    </row>
    <row r="62" spans="1:19" s="60" customFormat="1" ht="24" x14ac:dyDescent="0.25">
      <c r="A62" s="58"/>
      <c r="B62" s="47">
        <f t="shared" si="6"/>
        <v>53</v>
      </c>
      <c r="C62" s="53" t="s">
        <v>24</v>
      </c>
      <c r="D62" s="61" t="s">
        <v>388</v>
      </c>
      <c r="E62" s="61" t="s">
        <v>108</v>
      </c>
      <c r="F62" s="61" t="s">
        <v>337</v>
      </c>
      <c r="G62" s="61" t="s">
        <v>142</v>
      </c>
      <c r="H62" s="61" t="s">
        <v>335</v>
      </c>
      <c r="I62" s="61" t="s">
        <v>335</v>
      </c>
      <c r="J62" s="61" t="s">
        <v>335</v>
      </c>
      <c r="K62" s="68" t="s">
        <v>335</v>
      </c>
      <c r="L62" s="61">
        <v>10</v>
      </c>
      <c r="M62" s="37">
        <f t="shared" si="2"/>
        <v>50</v>
      </c>
      <c r="N62" s="50">
        <v>100</v>
      </c>
      <c r="O62" s="61" t="s">
        <v>335</v>
      </c>
      <c r="P62" s="61" t="s">
        <v>335</v>
      </c>
      <c r="Q62" s="51" t="s">
        <v>335</v>
      </c>
      <c r="R62" s="50"/>
      <c r="S62" s="57"/>
    </row>
    <row r="63" spans="1:19" s="60" customFormat="1" ht="48" x14ac:dyDescent="0.25">
      <c r="A63" s="58"/>
      <c r="B63" s="46">
        <f>ROW(B63) - ROW($B$9)</f>
        <v>54</v>
      </c>
      <c r="C63" s="52" t="s">
        <v>25</v>
      </c>
      <c r="D63" s="72" t="s">
        <v>376</v>
      </c>
      <c r="E63" s="37" t="s">
        <v>110</v>
      </c>
      <c r="F63" s="50" t="s">
        <v>337</v>
      </c>
      <c r="G63" s="37" t="s">
        <v>144</v>
      </c>
      <c r="H63" s="37" t="s">
        <v>231</v>
      </c>
      <c r="I63" s="37" t="s">
        <v>335</v>
      </c>
      <c r="J63" s="37" t="s">
        <v>287</v>
      </c>
      <c r="K63" s="50" t="s">
        <v>335</v>
      </c>
      <c r="L63" s="37">
        <v>2</v>
      </c>
      <c r="M63" s="37">
        <f t="shared" si="2"/>
        <v>10</v>
      </c>
      <c r="N63" s="72">
        <v>20</v>
      </c>
      <c r="O63" s="65" t="s">
        <v>341</v>
      </c>
      <c r="P63" s="38">
        <v>2.1499999999999998E-2</v>
      </c>
      <c r="Q63" s="77">
        <f>P63*N63</f>
        <v>0.42999999999999994</v>
      </c>
      <c r="R63" s="62"/>
      <c r="S63" s="63"/>
    </row>
    <row r="64" spans="1:19" s="60" customFormat="1" ht="60" x14ac:dyDescent="0.25">
      <c r="A64" s="58"/>
      <c r="B64" s="47">
        <f>ROW(B64) - ROW($B$9)</f>
        <v>55</v>
      </c>
      <c r="C64" s="52" t="s">
        <v>25</v>
      </c>
      <c r="D64" s="73" t="s">
        <v>377</v>
      </c>
      <c r="E64" s="50" t="s">
        <v>111</v>
      </c>
      <c r="F64" s="50" t="s">
        <v>337</v>
      </c>
      <c r="G64" s="50" t="s">
        <v>199</v>
      </c>
      <c r="H64" s="50" t="s">
        <v>232</v>
      </c>
      <c r="I64" s="50" t="s">
        <v>335</v>
      </c>
      <c r="J64" s="50" t="s">
        <v>288</v>
      </c>
      <c r="K64" s="50" t="s">
        <v>335</v>
      </c>
      <c r="L64" s="50">
        <v>1</v>
      </c>
      <c r="M64" s="37">
        <f t="shared" si="2"/>
        <v>5</v>
      </c>
      <c r="N64" s="73">
        <v>20</v>
      </c>
      <c r="O64" s="66" t="s">
        <v>341</v>
      </c>
      <c r="P64" s="51">
        <v>3.5299999999999998E-2</v>
      </c>
      <c r="Q64" s="77">
        <f>P64*N64</f>
        <v>0.70599999999999996</v>
      </c>
      <c r="R64" s="61"/>
      <c r="S64" s="63"/>
    </row>
    <row r="65" spans="1:19" s="60" customFormat="1" ht="48" x14ac:dyDescent="0.25">
      <c r="A65" s="58"/>
      <c r="B65" s="46">
        <f>ROW(B65) - ROW($B$9)</f>
        <v>56</v>
      </c>
      <c r="C65" s="52" t="s">
        <v>25</v>
      </c>
      <c r="D65" s="72" t="s">
        <v>379</v>
      </c>
      <c r="E65" s="37" t="s">
        <v>112</v>
      </c>
      <c r="F65" s="50" t="s">
        <v>337</v>
      </c>
      <c r="G65" s="37" t="s">
        <v>200</v>
      </c>
      <c r="H65" s="37" t="s">
        <v>231</v>
      </c>
      <c r="I65" s="37" t="s">
        <v>335</v>
      </c>
      <c r="J65" s="37" t="s">
        <v>289</v>
      </c>
      <c r="K65" s="50" t="s">
        <v>335</v>
      </c>
      <c r="L65" s="37">
        <v>4</v>
      </c>
      <c r="M65" s="37">
        <f t="shared" si="2"/>
        <v>20</v>
      </c>
      <c r="N65" s="50">
        <v>20</v>
      </c>
      <c r="O65" s="65" t="s">
        <v>341</v>
      </c>
      <c r="P65" s="38">
        <v>4.2799999999999998E-2</v>
      </c>
      <c r="Q65" s="51">
        <f t="shared" ref="Q65" si="24">P65*N65</f>
        <v>0.85599999999999998</v>
      </c>
      <c r="R65" s="50"/>
      <c r="S65" s="57"/>
    </row>
    <row r="66" spans="1:19" s="60" customFormat="1" ht="48" x14ac:dyDescent="0.25">
      <c r="A66" s="58"/>
      <c r="B66" s="47">
        <f t="shared" si="6"/>
        <v>57</v>
      </c>
      <c r="C66" s="53" t="s">
        <v>25</v>
      </c>
      <c r="D66" s="73" t="s">
        <v>378</v>
      </c>
      <c r="E66" s="50" t="s">
        <v>109</v>
      </c>
      <c r="F66" s="50" t="s">
        <v>337</v>
      </c>
      <c r="G66" s="50" t="s">
        <v>143</v>
      </c>
      <c r="H66" s="50" t="s">
        <v>231</v>
      </c>
      <c r="I66" s="50" t="s">
        <v>335</v>
      </c>
      <c r="J66" s="50" t="s">
        <v>286</v>
      </c>
      <c r="K66" s="50" t="s">
        <v>335</v>
      </c>
      <c r="L66" s="50">
        <v>1</v>
      </c>
      <c r="M66" s="37">
        <f t="shared" si="2"/>
        <v>5</v>
      </c>
      <c r="N66" s="37">
        <v>10</v>
      </c>
      <c r="O66" s="66" t="s">
        <v>341</v>
      </c>
      <c r="P66" s="51">
        <v>0.35560000000000003</v>
      </c>
      <c r="Q66" s="38">
        <f>P66*N66</f>
        <v>3.556</v>
      </c>
      <c r="R66" s="37"/>
      <c r="S66" s="57"/>
    </row>
    <row r="67" spans="1:19" s="60" customFormat="1" x14ac:dyDescent="0.25">
      <c r="A67" s="58"/>
      <c r="B67" s="46">
        <f t="shared" si="6"/>
        <v>58</v>
      </c>
      <c r="C67" s="52" t="s">
        <v>26</v>
      </c>
      <c r="D67" s="37" t="s">
        <v>48</v>
      </c>
      <c r="E67" s="37" t="s">
        <v>113</v>
      </c>
      <c r="F67" s="37" t="s">
        <v>146</v>
      </c>
      <c r="G67" s="37" t="s">
        <v>201</v>
      </c>
      <c r="H67" s="37" t="s">
        <v>234</v>
      </c>
      <c r="I67" s="37" t="s">
        <v>335</v>
      </c>
      <c r="J67" s="37" t="s">
        <v>290</v>
      </c>
      <c r="K67" s="50" t="s">
        <v>335</v>
      </c>
      <c r="L67" s="37">
        <v>1</v>
      </c>
      <c r="M67" s="37">
        <f t="shared" si="2"/>
        <v>5</v>
      </c>
      <c r="N67" s="50">
        <v>6</v>
      </c>
      <c r="O67" s="65" t="s">
        <v>341</v>
      </c>
      <c r="P67" s="38">
        <v>0.51070000000000004</v>
      </c>
      <c r="Q67" s="51">
        <f t="shared" ref="Q67" si="25">P67*N67</f>
        <v>3.0642000000000005</v>
      </c>
      <c r="R67" s="50"/>
      <c r="S67" s="57"/>
    </row>
    <row r="68" spans="1:19" s="60" customFormat="1" ht="36" x14ac:dyDescent="0.25">
      <c r="A68" s="58"/>
      <c r="B68" s="46">
        <f t="shared" si="6"/>
        <v>59</v>
      </c>
      <c r="C68" s="52" t="s">
        <v>26</v>
      </c>
      <c r="D68" s="50" t="s">
        <v>49</v>
      </c>
      <c r="E68" s="37" t="s">
        <v>114</v>
      </c>
      <c r="F68" s="37" t="s">
        <v>147</v>
      </c>
      <c r="G68" s="37" t="s">
        <v>202</v>
      </c>
      <c r="H68" s="37" t="s">
        <v>236</v>
      </c>
      <c r="I68" s="37" t="s">
        <v>335</v>
      </c>
      <c r="J68" s="37" t="s">
        <v>291</v>
      </c>
      <c r="K68" s="50" t="s">
        <v>335</v>
      </c>
      <c r="L68" s="37">
        <v>1</v>
      </c>
      <c r="M68" s="37">
        <f t="shared" si="2"/>
        <v>5</v>
      </c>
      <c r="N68" s="37">
        <v>6</v>
      </c>
      <c r="O68" s="65" t="s">
        <v>341</v>
      </c>
      <c r="P68" s="38">
        <v>0.51549999999999996</v>
      </c>
      <c r="Q68" s="38">
        <f>P68*N68</f>
        <v>3.093</v>
      </c>
      <c r="R68" s="37"/>
      <c r="S68" s="57"/>
    </row>
    <row r="69" spans="1:19" s="60" customFormat="1" ht="36" x14ac:dyDescent="0.25">
      <c r="A69" s="58"/>
      <c r="B69" s="46">
        <f t="shared" si="6"/>
        <v>60</v>
      </c>
      <c r="C69" s="52" t="s">
        <v>26</v>
      </c>
      <c r="D69" s="72" t="s">
        <v>50</v>
      </c>
      <c r="E69" s="37" t="s">
        <v>116</v>
      </c>
      <c r="F69" s="37" t="s">
        <v>149</v>
      </c>
      <c r="G69" s="37" t="s">
        <v>293</v>
      </c>
      <c r="H69" s="37" t="s">
        <v>237</v>
      </c>
      <c r="I69" s="37" t="s">
        <v>335</v>
      </c>
      <c r="J69" s="37" t="s">
        <v>204</v>
      </c>
      <c r="K69" s="50" t="s">
        <v>335</v>
      </c>
      <c r="L69" s="37">
        <v>1</v>
      </c>
      <c r="M69" s="37">
        <f t="shared" si="2"/>
        <v>5</v>
      </c>
      <c r="N69" s="50">
        <v>6</v>
      </c>
      <c r="O69" s="65" t="s">
        <v>341</v>
      </c>
      <c r="P69" s="38">
        <v>0.54890000000000005</v>
      </c>
      <c r="Q69" s="51">
        <f t="shared" ref="Q69" si="26">P69*N69</f>
        <v>3.2934000000000001</v>
      </c>
      <c r="R69" s="67"/>
      <c r="S69" s="57"/>
    </row>
    <row r="70" spans="1:19" s="60" customFormat="1" x14ac:dyDescent="0.25">
      <c r="A70" s="58"/>
      <c r="B70" s="47">
        <f t="shared" si="6"/>
        <v>61</v>
      </c>
      <c r="C70" s="53" t="s">
        <v>27</v>
      </c>
      <c r="D70" s="73" t="s">
        <v>51</v>
      </c>
      <c r="E70" s="50" t="s">
        <v>117</v>
      </c>
      <c r="F70" s="50" t="s">
        <v>150</v>
      </c>
      <c r="G70" s="50" t="s">
        <v>205</v>
      </c>
      <c r="H70" s="50" t="s">
        <v>238</v>
      </c>
      <c r="I70" s="50" t="s">
        <v>335</v>
      </c>
      <c r="J70" s="50" t="s">
        <v>294</v>
      </c>
      <c r="K70" s="50" t="s">
        <v>335</v>
      </c>
      <c r="L70" s="50">
        <v>1</v>
      </c>
      <c r="M70" s="37">
        <f t="shared" si="2"/>
        <v>5</v>
      </c>
      <c r="N70" s="37">
        <v>6</v>
      </c>
      <c r="O70" s="66" t="s">
        <v>341</v>
      </c>
      <c r="P70" s="51">
        <v>3.2519</v>
      </c>
      <c r="Q70" s="38">
        <f>P70*N70</f>
        <v>19.511400000000002</v>
      </c>
      <c r="R70" s="37"/>
      <c r="S70" s="57"/>
    </row>
    <row r="71" spans="1:19" s="60" customFormat="1" ht="24" x14ac:dyDescent="0.25">
      <c r="A71" s="58"/>
      <c r="B71" s="46">
        <f t="shared" si="6"/>
        <v>62</v>
      </c>
      <c r="C71" s="52" t="s">
        <v>26</v>
      </c>
      <c r="D71" s="73" t="s">
        <v>52</v>
      </c>
      <c r="E71" s="37" t="s">
        <v>118</v>
      </c>
      <c r="F71" s="37" t="s">
        <v>151</v>
      </c>
      <c r="G71" s="37" t="s">
        <v>206</v>
      </c>
      <c r="H71" s="37" t="s">
        <v>239</v>
      </c>
      <c r="I71" s="37" t="s">
        <v>335</v>
      </c>
      <c r="J71" s="37" t="s">
        <v>295</v>
      </c>
      <c r="K71" s="50" t="s">
        <v>335</v>
      </c>
      <c r="L71" s="37">
        <v>1</v>
      </c>
      <c r="M71" s="37">
        <f t="shared" si="2"/>
        <v>5</v>
      </c>
      <c r="N71" s="50">
        <v>6</v>
      </c>
      <c r="O71" s="65" t="s">
        <v>341</v>
      </c>
      <c r="P71" s="38">
        <v>0.96889999999999998</v>
      </c>
      <c r="Q71" s="51">
        <f t="shared" ref="Q71" si="27">P71*N71</f>
        <v>5.8133999999999997</v>
      </c>
      <c r="R71" s="67"/>
      <c r="S71" s="57"/>
    </row>
    <row r="72" spans="1:19" s="60" customFormat="1" x14ac:dyDescent="0.25">
      <c r="A72" s="58"/>
      <c r="B72" s="47">
        <f t="shared" si="6"/>
        <v>63</v>
      </c>
      <c r="C72" s="53" t="s">
        <v>26</v>
      </c>
      <c r="D72" s="73" t="s">
        <v>53</v>
      </c>
      <c r="E72" s="50" t="s">
        <v>119</v>
      </c>
      <c r="F72" s="50" t="s">
        <v>152</v>
      </c>
      <c r="G72" s="50" t="s">
        <v>207</v>
      </c>
      <c r="H72" s="50" t="s">
        <v>216</v>
      </c>
      <c r="I72" s="50" t="s">
        <v>335</v>
      </c>
      <c r="J72" s="50" t="s">
        <v>296</v>
      </c>
      <c r="K72" s="50" t="s">
        <v>335</v>
      </c>
      <c r="L72" s="50">
        <v>1</v>
      </c>
      <c r="M72" s="37">
        <f t="shared" ref="M72:M78" si="28">L72*5</f>
        <v>5</v>
      </c>
      <c r="N72" s="37">
        <v>6</v>
      </c>
      <c r="O72" s="66" t="s">
        <v>341</v>
      </c>
      <c r="P72" s="51">
        <v>0.73499999999999999</v>
      </c>
      <c r="Q72" s="38">
        <f>P72*N72</f>
        <v>4.41</v>
      </c>
      <c r="R72" s="37"/>
      <c r="S72" s="57"/>
    </row>
    <row r="73" spans="1:19" s="60" customFormat="1" x14ac:dyDescent="0.25">
      <c r="A73" s="58"/>
      <c r="B73" s="47">
        <f t="shared" si="6"/>
        <v>64</v>
      </c>
      <c r="C73" s="52" t="s">
        <v>26</v>
      </c>
      <c r="D73" s="62" t="s">
        <v>54</v>
      </c>
      <c r="E73" s="62" t="s">
        <v>380</v>
      </c>
      <c r="F73" s="62" t="s">
        <v>145</v>
      </c>
      <c r="G73" s="62" t="s">
        <v>381</v>
      </c>
      <c r="H73" s="62" t="s">
        <v>233</v>
      </c>
      <c r="I73" s="61" t="s">
        <v>335</v>
      </c>
      <c r="J73" s="62" t="s">
        <v>385</v>
      </c>
      <c r="K73" s="62" t="s">
        <v>335</v>
      </c>
      <c r="L73" s="62">
        <v>1</v>
      </c>
      <c r="M73" s="62">
        <f t="shared" si="28"/>
        <v>5</v>
      </c>
      <c r="N73" s="61">
        <v>10</v>
      </c>
      <c r="O73" s="78" t="s">
        <v>341</v>
      </c>
      <c r="P73" s="64" t="s">
        <v>335</v>
      </c>
      <c r="Q73" s="64" t="s">
        <v>335</v>
      </c>
      <c r="R73" s="67" t="s">
        <v>342</v>
      </c>
      <c r="S73" s="57"/>
    </row>
    <row r="74" spans="1:19" s="60" customFormat="1" ht="24" x14ac:dyDescent="0.25">
      <c r="A74" s="58"/>
      <c r="B74" s="47">
        <f t="shared" si="6"/>
        <v>65</v>
      </c>
      <c r="C74" s="53" t="s">
        <v>26</v>
      </c>
      <c r="D74" s="50" t="s">
        <v>55</v>
      </c>
      <c r="E74" s="50" t="s">
        <v>382</v>
      </c>
      <c r="F74" s="50" t="s">
        <v>148</v>
      </c>
      <c r="G74" s="50" t="s">
        <v>383</v>
      </c>
      <c r="H74" s="50" t="s">
        <v>384</v>
      </c>
      <c r="I74" s="50" t="s">
        <v>335</v>
      </c>
      <c r="J74" s="50" t="s">
        <v>386</v>
      </c>
      <c r="K74" s="50" t="s">
        <v>335</v>
      </c>
      <c r="L74" s="50">
        <v>1</v>
      </c>
      <c r="M74" s="37">
        <f t="shared" si="28"/>
        <v>5</v>
      </c>
      <c r="N74" s="37">
        <v>10</v>
      </c>
      <c r="O74" s="66" t="s">
        <v>341</v>
      </c>
      <c r="P74" s="51">
        <v>0.16789999999999999</v>
      </c>
      <c r="Q74" s="38">
        <f>P74*N74</f>
        <v>1.6789999999999998</v>
      </c>
      <c r="R74" s="37"/>
      <c r="S74" s="57"/>
    </row>
    <row r="75" spans="1:19" s="60" customFormat="1" x14ac:dyDescent="0.25">
      <c r="A75" s="58"/>
      <c r="B75" s="47">
        <f t="shared" si="6"/>
        <v>66</v>
      </c>
      <c r="C75" s="53" t="s">
        <v>26</v>
      </c>
      <c r="D75" s="37" t="s">
        <v>56</v>
      </c>
      <c r="E75" s="50" t="s">
        <v>115</v>
      </c>
      <c r="F75" s="50" t="s">
        <v>148</v>
      </c>
      <c r="G75" s="50" t="s">
        <v>203</v>
      </c>
      <c r="H75" s="50" t="s">
        <v>235</v>
      </c>
      <c r="I75" s="50" t="s">
        <v>335</v>
      </c>
      <c r="J75" s="50" t="s">
        <v>292</v>
      </c>
      <c r="K75" s="50" t="s">
        <v>335</v>
      </c>
      <c r="L75" s="50">
        <v>1</v>
      </c>
      <c r="M75" s="37">
        <f t="shared" si="28"/>
        <v>5</v>
      </c>
      <c r="N75" s="50">
        <v>10</v>
      </c>
      <c r="O75" s="66" t="s">
        <v>341</v>
      </c>
      <c r="P75" s="51">
        <v>0.2802</v>
      </c>
      <c r="Q75" s="51">
        <f t="shared" ref="Q75:Q77" si="29">P75*N75</f>
        <v>2.802</v>
      </c>
      <c r="R75" s="50"/>
      <c r="S75" s="57"/>
    </row>
    <row r="76" spans="1:19" ht="24.75" thickBot="1" x14ac:dyDescent="0.3">
      <c r="A76" s="1"/>
      <c r="B76" s="47">
        <f>ROW(B76) - ROW([1]Sheet1!$B$9)</f>
        <v>67</v>
      </c>
      <c r="C76" s="53" t="s">
        <v>26</v>
      </c>
      <c r="D76" s="50" t="s">
        <v>410</v>
      </c>
      <c r="E76" s="50" t="s">
        <v>411</v>
      </c>
      <c r="F76" s="50" t="s">
        <v>412</v>
      </c>
      <c r="G76" s="50" t="s">
        <v>413</v>
      </c>
      <c r="H76" s="50" t="s">
        <v>414</v>
      </c>
      <c r="I76" s="50" t="s">
        <v>335</v>
      </c>
      <c r="J76" s="50" t="s">
        <v>415</v>
      </c>
      <c r="K76" s="50" t="s">
        <v>335</v>
      </c>
      <c r="L76" s="50">
        <v>1</v>
      </c>
      <c r="M76" s="50">
        <f>L76*5</f>
        <v>5</v>
      </c>
      <c r="N76" s="50">
        <v>6</v>
      </c>
      <c r="O76" s="66" t="s">
        <v>341</v>
      </c>
      <c r="P76" s="51">
        <v>3.1690999999999998</v>
      </c>
      <c r="Q76" s="51">
        <f>P76*N76</f>
        <v>19.014599999999998</v>
      </c>
      <c r="R76" s="50"/>
      <c r="S76" s="39"/>
    </row>
    <row r="77" spans="1:19" s="60" customFormat="1" ht="48" x14ac:dyDescent="0.25">
      <c r="A77" s="58"/>
      <c r="B77" s="47">
        <f t="shared" si="6"/>
        <v>68</v>
      </c>
      <c r="C77" s="53" t="s">
        <v>389</v>
      </c>
      <c r="D77" s="37" t="s">
        <v>390</v>
      </c>
      <c r="E77" s="50" t="s">
        <v>394</v>
      </c>
      <c r="F77" s="50" t="s">
        <v>335</v>
      </c>
      <c r="G77" s="50" t="s">
        <v>335</v>
      </c>
      <c r="H77" s="50" t="s">
        <v>335</v>
      </c>
      <c r="I77" s="50" t="s">
        <v>335</v>
      </c>
      <c r="J77" s="50" t="s">
        <v>335</v>
      </c>
      <c r="K77" s="50" t="s">
        <v>335</v>
      </c>
      <c r="L77" s="50">
        <v>1</v>
      </c>
      <c r="M77" s="37">
        <f t="shared" si="28"/>
        <v>5</v>
      </c>
      <c r="N77" s="50">
        <v>5</v>
      </c>
      <c r="O77" s="66" t="s">
        <v>393</v>
      </c>
      <c r="P77" s="51">
        <v>6.26</v>
      </c>
      <c r="Q77" s="51">
        <f t="shared" si="29"/>
        <v>31.299999999999997</v>
      </c>
      <c r="R77" s="50"/>
      <c r="S77" s="57"/>
    </row>
    <row r="78" spans="1:19" s="60" customFormat="1" ht="36.75" thickBot="1" x14ac:dyDescent="0.3">
      <c r="A78" s="58"/>
      <c r="B78" s="47">
        <f t="shared" si="6"/>
        <v>69</v>
      </c>
      <c r="C78" s="53" t="s">
        <v>391</v>
      </c>
      <c r="D78" s="37" t="s">
        <v>390</v>
      </c>
      <c r="E78" s="50" t="s">
        <v>392</v>
      </c>
      <c r="F78" s="50" t="s">
        <v>335</v>
      </c>
      <c r="G78" s="50" t="s">
        <v>335</v>
      </c>
      <c r="H78" s="50" t="s">
        <v>335</v>
      </c>
      <c r="I78" s="50" t="s">
        <v>335</v>
      </c>
      <c r="J78" s="50" t="s">
        <v>335</v>
      </c>
      <c r="K78" s="50" t="s">
        <v>335</v>
      </c>
      <c r="L78" s="50">
        <v>1</v>
      </c>
      <c r="M78" s="37">
        <f t="shared" si="28"/>
        <v>5</v>
      </c>
      <c r="N78" s="50">
        <v>1</v>
      </c>
      <c r="O78" s="66" t="s">
        <v>393</v>
      </c>
      <c r="P78" s="51">
        <v>5.33</v>
      </c>
      <c r="Q78" s="51">
        <f>P78*N78</f>
        <v>5.33</v>
      </c>
      <c r="R78" s="50"/>
      <c r="S78" s="57"/>
    </row>
    <row r="79" spans="1:19" ht="19.5" thickBot="1" x14ac:dyDescent="0.3">
      <c r="A79" s="1"/>
      <c r="B79" s="40"/>
      <c r="C79" s="41"/>
      <c r="D79" s="42"/>
      <c r="E79" s="43"/>
      <c r="F79" s="44"/>
      <c r="G79" s="45"/>
      <c r="H79" s="44"/>
      <c r="I79" s="45"/>
      <c r="J79" s="44"/>
      <c r="K79" s="45"/>
      <c r="L79" s="45"/>
      <c r="M79" s="45"/>
      <c r="N79" s="87" t="s">
        <v>5</v>
      </c>
      <c r="O79" s="88"/>
      <c r="P79" s="88"/>
      <c r="Q79" s="48">
        <f>SUM(Q10:Q78)</f>
        <v>164.98280000000003</v>
      </c>
      <c r="R79" s="83"/>
      <c r="S79" s="84"/>
    </row>
    <row r="80" spans="1:19" ht="19.5" thickBot="1" x14ac:dyDescent="0.3">
      <c r="A80" s="1"/>
      <c r="B80" s="25"/>
      <c r="C80" s="36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87" t="s">
        <v>6</v>
      </c>
      <c r="O80" s="88"/>
      <c r="P80" s="88"/>
      <c r="Q80" s="49">
        <f>Q79/5</f>
        <v>32.996560000000002</v>
      </c>
      <c r="R80" s="85"/>
      <c r="S80" s="86"/>
    </row>
    <row r="92" spans="14:14" ht="15.75" x14ac:dyDescent="0.25">
      <c r="N92" s="69"/>
    </row>
  </sheetData>
  <mergeCells count="5">
    <mergeCell ref="K1:S1"/>
    <mergeCell ref="S3:S8"/>
    <mergeCell ref="R79:S80"/>
    <mergeCell ref="N79:P79"/>
    <mergeCell ref="N80:P80"/>
  </mergeCells>
  <hyperlinks>
    <hyperlink ref="O18" r:id="rId1"/>
    <hyperlink ref="O21" r:id="rId2"/>
    <hyperlink ref="O12" r:id="rId3"/>
    <hyperlink ref="O10" r:id="rId4"/>
    <hyperlink ref="O11" r:id="rId5"/>
    <hyperlink ref="O13" r:id="rId6"/>
    <hyperlink ref="O15" r:id="rId7"/>
    <hyperlink ref="O16" r:id="rId8"/>
    <hyperlink ref="O19" r:id="rId9"/>
    <hyperlink ref="O22" r:id="rId10"/>
    <hyperlink ref="O23" r:id="rId11"/>
    <hyperlink ref="O24" r:id="rId12"/>
    <hyperlink ref="O25" r:id="rId13"/>
    <hyperlink ref="O26" r:id="rId14"/>
    <hyperlink ref="O27" r:id="rId15"/>
    <hyperlink ref="O28" r:id="rId16"/>
    <hyperlink ref="O29" r:id="rId17"/>
    <hyperlink ref="O30" r:id="rId18"/>
    <hyperlink ref="O31" r:id="rId19"/>
    <hyperlink ref="O34" r:id="rId20"/>
    <hyperlink ref="O35" r:id="rId21"/>
    <hyperlink ref="O36" r:id="rId22"/>
    <hyperlink ref="O37" r:id="rId23"/>
    <hyperlink ref="O38" r:id="rId24"/>
    <hyperlink ref="O39" r:id="rId25"/>
    <hyperlink ref="O41" r:id="rId26"/>
    <hyperlink ref="O42" r:id="rId27"/>
    <hyperlink ref="O43" r:id="rId28"/>
    <hyperlink ref="O45" r:id="rId29"/>
    <hyperlink ref="O46" r:id="rId30"/>
    <hyperlink ref="O47" r:id="rId31"/>
    <hyperlink ref="O57" r:id="rId32"/>
    <hyperlink ref="O48" r:id="rId33"/>
    <hyperlink ref="O49" r:id="rId34"/>
    <hyperlink ref="O52" r:id="rId35"/>
    <hyperlink ref="O50" r:id="rId36"/>
    <hyperlink ref="O51" r:id="rId37"/>
    <hyperlink ref="O53" r:id="rId38"/>
    <hyperlink ref="O54" r:id="rId39"/>
    <hyperlink ref="O55" r:id="rId40"/>
    <hyperlink ref="O56" r:id="rId41"/>
    <hyperlink ref="O58" r:id="rId42"/>
    <hyperlink ref="O60" r:id="rId43"/>
    <hyperlink ref="O61" r:id="rId44"/>
    <hyperlink ref="O66" r:id="rId45"/>
    <hyperlink ref="O63" r:id="rId46"/>
    <hyperlink ref="O64" r:id="rId47"/>
    <hyperlink ref="O65" r:id="rId48"/>
    <hyperlink ref="O67" r:id="rId49"/>
    <hyperlink ref="O68" r:id="rId50"/>
    <hyperlink ref="O75" r:id="rId51"/>
    <hyperlink ref="O70" r:id="rId52"/>
    <hyperlink ref="O71" r:id="rId53"/>
    <hyperlink ref="O72" r:id="rId54"/>
    <hyperlink ref="O69" r:id="rId55"/>
    <hyperlink ref="O17" r:id="rId56"/>
    <hyperlink ref="O33" r:id="rId57"/>
    <hyperlink ref="O20" r:id="rId58"/>
    <hyperlink ref="O73" r:id="rId59"/>
    <hyperlink ref="O74" r:id="rId60"/>
    <hyperlink ref="O14" r:id="rId61"/>
    <hyperlink ref="O78" r:id="rId62"/>
    <hyperlink ref="O77" r:id="rId63"/>
    <hyperlink ref="O44" r:id="rId64"/>
    <hyperlink ref="O59" r:id="rId65"/>
    <hyperlink ref="O76" r:id="rId66"/>
  </hyperlinks>
  <pageMargins left="0.7" right="0.7" top="0.75" bottom="0.75" header="0.3" footer="0.3"/>
  <pageSetup paperSize="9" orientation="portrait" r:id="rId67"/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abSelected="1" topLeftCell="E67" workbookViewId="0">
      <selection activeCell="J85" sqref="J85"/>
    </sheetView>
  </sheetViews>
  <sheetFormatPr defaultRowHeight="15" x14ac:dyDescent="0.25"/>
  <cols>
    <col min="2" max="2" width="3" bestFit="1" customWidth="1"/>
    <col min="3" max="3" width="17" customWidth="1"/>
    <col min="4" max="4" width="27.5703125" customWidth="1"/>
    <col min="5" max="5" width="30" customWidth="1"/>
    <col min="6" max="6" width="15.7109375" customWidth="1"/>
    <col min="7" max="7" width="25.28515625" bestFit="1" customWidth="1"/>
    <col min="8" max="8" width="22.8554687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1.7109375" customWidth="1"/>
    <col min="16" max="16" width="18.7109375" bestFit="1" customWidth="1"/>
    <col min="17" max="17" width="19.28515625" bestFit="1" customWidth="1"/>
    <col min="18" max="18" width="8.710937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9"/>
      <c r="L1" s="79"/>
      <c r="M1" s="79"/>
      <c r="N1" s="79"/>
      <c r="O1" s="79"/>
      <c r="P1" s="79"/>
      <c r="Q1" s="79"/>
      <c r="R1" s="79"/>
      <c r="S1" s="80"/>
    </row>
    <row r="2" spans="1:19" ht="32.25" thickBot="1" x14ac:dyDescent="0.3">
      <c r="A2" s="1"/>
      <c r="B2" s="21"/>
      <c r="C2" s="31"/>
      <c r="D2" s="11" t="s">
        <v>0</v>
      </c>
      <c r="E2" s="11"/>
      <c r="F2" s="54" t="s">
        <v>339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5" t="s">
        <v>340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81"/>
    </row>
    <row r="4" spans="1:19" x14ac:dyDescent="0.25">
      <c r="A4" s="1"/>
      <c r="B4" s="22"/>
      <c r="C4" s="32"/>
      <c r="D4" s="13" t="s">
        <v>2</v>
      </c>
      <c r="E4" s="13"/>
      <c r="F4" s="55" t="s">
        <v>340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2"/>
    </row>
    <row r="5" spans="1:19" x14ac:dyDescent="0.25">
      <c r="A5" s="1"/>
      <c r="B5" s="22"/>
      <c r="C5" s="32"/>
      <c r="D5" s="13" t="s">
        <v>3</v>
      </c>
      <c r="E5" s="13"/>
      <c r="F5" s="56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2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2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2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2"/>
    </row>
    <row r="9" spans="1:19" ht="15.75" thickBot="1" x14ac:dyDescent="0.3">
      <c r="A9" s="1"/>
      <c r="B9" s="30" t="s">
        <v>4</v>
      </c>
      <c r="C9" s="30" t="s">
        <v>8</v>
      </c>
      <c r="D9" s="30" t="s">
        <v>28</v>
      </c>
      <c r="E9" s="30" t="s">
        <v>57</v>
      </c>
      <c r="F9" s="30" t="s">
        <v>120</v>
      </c>
      <c r="G9" s="30" t="s">
        <v>153</v>
      </c>
      <c r="H9" s="30" t="s">
        <v>208</v>
      </c>
      <c r="I9" s="30" t="s">
        <v>328</v>
      </c>
      <c r="J9" s="30" t="s">
        <v>240</v>
      </c>
      <c r="K9" s="30" t="s">
        <v>336</v>
      </c>
      <c r="L9" s="30" t="s">
        <v>327</v>
      </c>
      <c r="M9" s="30" t="s">
        <v>347</v>
      </c>
      <c r="N9" s="30" t="s">
        <v>348</v>
      </c>
      <c r="O9" s="30" t="s">
        <v>331</v>
      </c>
      <c r="P9" s="30" t="s">
        <v>349</v>
      </c>
      <c r="Q9" s="30" t="s">
        <v>332</v>
      </c>
      <c r="R9" s="30" t="s">
        <v>333</v>
      </c>
      <c r="S9" s="30" t="s">
        <v>334</v>
      </c>
    </row>
    <row r="10" spans="1:19" s="60" customFormat="1" x14ac:dyDescent="0.25">
      <c r="A10" s="58"/>
      <c r="B10" s="47">
        <f t="shared" ref="B10:B19" si="0">ROW(B10) - ROW($B$9)</f>
        <v>1</v>
      </c>
      <c r="C10" s="52" t="s">
        <v>9</v>
      </c>
      <c r="D10" s="72" t="s">
        <v>396</v>
      </c>
      <c r="E10" s="50" t="s">
        <v>62</v>
      </c>
      <c r="F10" s="50" t="s">
        <v>123</v>
      </c>
      <c r="G10" s="50" t="s">
        <v>157</v>
      </c>
      <c r="H10" s="50" t="s">
        <v>209</v>
      </c>
      <c r="I10" s="50" t="s">
        <v>335</v>
      </c>
      <c r="J10" s="50" t="s">
        <v>245</v>
      </c>
      <c r="K10" s="50" t="s">
        <v>302</v>
      </c>
      <c r="L10" s="37">
        <v>8</v>
      </c>
      <c r="M10" s="37">
        <f t="shared" ref="M10:M73" si="1">L10*2</f>
        <v>16</v>
      </c>
      <c r="N10" s="50">
        <v>20</v>
      </c>
      <c r="O10" s="66" t="s">
        <v>341</v>
      </c>
      <c r="P10" s="51">
        <v>5.04E-2</v>
      </c>
      <c r="Q10" s="38">
        <f>P10*N10</f>
        <v>1.008</v>
      </c>
      <c r="R10" s="37"/>
      <c r="S10" s="59"/>
    </row>
    <row r="11" spans="1:19" s="60" customFormat="1" ht="48" x14ac:dyDescent="0.25">
      <c r="A11" s="58"/>
      <c r="B11" s="47">
        <f>ROW(B11) - ROW($B$9)</f>
        <v>2</v>
      </c>
      <c r="C11" s="53" t="s">
        <v>9</v>
      </c>
      <c r="D11" s="73" t="s">
        <v>395</v>
      </c>
      <c r="E11" s="50" t="s">
        <v>63</v>
      </c>
      <c r="F11" s="50" t="s">
        <v>124</v>
      </c>
      <c r="G11" s="50" t="s">
        <v>158</v>
      </c>
      <c r="H11" s="50" t="s">
        <v>209</v>
      </c>
      <c r="I11" s="50" t="s">
        <v>335</v>
      </c>
      <c r="J11" s="50" t="s">
        <v>246</v>
      </c>
      <c r="K11" s="50" t="s">
        <v>301</v>
      </c>
      <c r="L11" s="50">
        <v>28</v>
      </c>
      <c r="M11" s="37">
        <f t="shared" si="1"/>
        <v>56</v>
      </c>
      <c r="N11" s="37">
        <v>100</v>
      </c>
      <c r="O11" s="66" t="s">
        <v>341</v>
      </c>
      <c r="P11" s="51">
        <v>1.9E-3</v>
      </c>
      <c r="Q11" s="51">
        <f t="shared" ref="Q11" si="2">P11*N11</f>
        <v>0.19</v>
      </c>
      <c r="R11" s="50"/>
      <c r="S11" s="57"/>
    </row>
    <row r="12" spans="1:19" s="60" customFormat="1" x14ac:dyDescent="0.25">
      <c r="A12" s="58"/>
      <c r="B12" s="46">
        <f t="shared" si="0"/>
        <v>3</v>
      </c>
      <c r="C12" s="52" t="s">
        <v>9</v>
      </c>
      <c r="D12" s="72" t="s">
        <v>350</v>
      </c>
      <c r="E12" s="37" t="s">
        <v>60</v>
      </c>
      <c r="F12" s="37" t="s">
        <v>337</v>
      </c>
      <c r="G12" s="37" t="s">
        <v>122</v>
      </c>
      <c r="H12" s="37" t="s">
        <v>210</v>
      </c>
      <c r="I12" s="37" t="s">
        <v>335</v>
      </c>
      <c r="J12" s="37" t="s">
        <v>243</v>
      </c>
      <c r="K12" s="37" t="s">
        <v>299</v>
      </c>
      <c r="L12" s="37">
        <v>2</v>
      </c>
      <c r="M12" s="37">
        <f t="shared" si="1"/>
        <v>4</v>
      </c>
      <c r="N12" s="37">
        <v>5</v>
      </c>
      <c r="O12" s="65" t="s">
        <v>341</v>
      </c>
      <c r="P12" s="38">
        <v>0.97230000000000005</v>
      </c>
      <c r="Q12" s="38">
        <f>P12*N12</f>
        <v>4.8615000000000004</v>
      </c>
      <c r="R12" s="37"/>
      <c r="S12" s="57"/>
    </row>
    <row r="13" spans="1:19" s="60" customFormat="1" x14ac:dyDescent="0.25">
      <c r="A13" s="58"/>
      <c r="B13" s="46">
        <f t="shared" si="0"/>
        <v>4</v>
      </c>
      <c r="C13" s="52" t="s">
        <v>9</v>
      </c>
      <c r="D13" s="72" t="s">
        <v>351</v>
      </c>
      <c r="E13" s="37" t="s">
        <v>64</v>
      </c>
      <c r="F13" s="37" t="s">
        <v>337</v>
      </c>
      <c r="G13" s="37" t="s">
        <v>125</v>
      </c>
      <c r="H13" s="37" t="s">
        <v>210</v>
      </c>
      <c r="I13" s="37" t="s">
        <v>335</v>
      </c>
      <c r="J13" s="37" t="s">
        <v>247</v>
      </c>
      <c r="K13" s="37" t="s">
        <v>303</v>
      </c>
      <c r="L13" s="37">
        <v>2</v>
      </c>
      <c r="M13" s="37">
        <f t="shared" si="1"/>
        <v>4</v>
      </c>
      <c r="N13" s="50">
        <v>5</v>
      </c>
      <c r="O13" s="65" t="s">
        <v>341</v>
      </c>
      <c r="P13" s="38">
        <v>0.79630000000000001</v>
      </c>
      <c r="Q13" s="38">
        <f>P13*N13</f>
        <v>3.9815</v>
      </c>
      <c r="R13" s="37"/>
      <c r="S13" s="57"/>
    </row>
    <row r="14" spans="1:19" s="60" customFormat="1" ht="48" x14ac:dyDescent="0.25">
      <c r="A14" s="58"/>
      <c r="B14" s="47">
        <f t="shared" si="0"/>
        <v>5</v>
      </c>
      <c r="C14" s="52" t="s">
        <v>9</v>
      </c>
      <c r="D14" s="73" t="s">
        <v>352</v>
      </c>
      <c r="E14" s="50" t="s">
        <v>61</v>
      </c>
      <c r="F14" s="50" t="s">
        <v>121</v>
      </c>
      <c r="G14" s="50" t="s">
        <v>156</v>
      </c>
      <c r="H14" s="50" t="s">
        <v>209</v>
      </c>
      <c r="I14" s="50" t="s">
        <v>335</v>
      </c>
      <c r="J14" s="50" t="s">
        <v>244</v>
      </c>
      <c r="K14" s="50" t="s">
        <v>300</v>
      </c>
      <c r="L14" s="50">
        <v>22</v>
      </c>
      <c r="M14" s="37">
        <f t="shared" si="1"/>
        <v>44</v>
      </c>
      <c r="N14" s="37">
        <v>100</v>
      </c>
      <c r="O14" s="66" t="s">
        <v>341</v>
      </c>
      <c r="P14" s="51">
        <v>5.1999999999999998E-3</v>
      </c>
      <c r="Q14" s="51">
        <f t="shared" ref="Q14" si="3">P14*N14</f>
        <v>0.52</v>
      </c>
      <c r="R14" s="50"/>
      <c r="S14" s="57"/>
    </row>
    <row r="15" spans="1:19" s="60" customFormat="1" x14ac:dyDescent="0.25">
      <c r="A15" s="58"/>
      <c r="B15" s="47">
        <f t="shared" si="0"/>
        <v>6</v>
      </c>
      <c r="C15" s="52" t="s">
        <v>9</v>
      </c>
      <c r="D15" s="72" t="s">
        <v>353</v>
      </c>
      <c r="E15" s="50" t="s">
        <v>65</v>
      </c>
      <c r="F15" s="50" t="s">
        <v>126</v>
      </c>
      <c r="G15" s="50" t="s">
        <v>159</v>
      </c>
      <c r="H15" s="50" t="s">
        <v>211</v>
      </c>
      <c r="I15" s="50" t="s">
        <v>335</v>
      </c>
      <c r="J15" s="50" t="s">
        <v>248</v>
      </c>
      <c r="K15" s="50" t="s">
        <v>303</v>
      </c>
      <c r="L15" s="37">
        <v>1</v>
      </c>
      <c r="M15" s="37">
        <f t="shared" si="1"/>
        <v>2</v>
      </c>
      <c r="N15" s="50">
        <v>3</v>
      </c>
      <c r="O15" s="66" t="s">
        <v>341</v>
      </c>
      <c r="P15" s="51">
        <v>1.4064000000000001</v>
      </c>
      <c r="Q15" s="38">
        <f>P15*N15</f>
        <v>4.2192000000000007</v>
      </c>
      <c r="R15" s="37"/>
      <c r="S15" s="57"/>
    </row>
    <row r="16" spans="1:19" s="60" customFormat="1" x14ac:dyDescent="0.25">
      <c r="A16" s="58"/>
      <c r="B16" s="47">
        <f t="shared" si="0"/>
        <v>7</v>
      </c>
      <c r="C16" s="52" t="s">
        <v>9</v>
      </c>
      <c r="D16" s="73" t="s">
        <v>354</v>
      </c>
      <c r="E16" s="50" t="s">
        <v>66</v>
      </c>
      <c r="F16" s="50" t="s">
        <v>121</v>
      </c>
      <c r="G16" s="50" t="s">
        <v>160</v>
      </c>
      <c r="H16" s="50" t="s">
        <v>209</v>
      </c>
      <c r="I16" s="50" t="s">
        <v>335</v>
      </c>
      <c r="J16" s="50" t="s">
        <v>249</v>
      </c>
      <c r="K16" s="50" t="s">
        <v>304</v>
      </c>
      <c r="L16" s="50">
        <v>6</v>
      </c>
      <c r="M16" s="37">
        <f t="shared" si="1"/>
        <v>12</v>
      </c>
      <c r="N16" s="50">
        <v>20</v>
      </c>
      <c r="O16" s="66" t="s">
        <v>341</v>
      </c>
      <c r="P16" s="51">
        <v>2.41E-2</v>
      </c>
      <c r="Q16" s="51">
        <f t="shared" ref="Q16" si="4">P16*N16</f>
        <v>0.48199999999999998</v>
      </c>
      <c r="R16" s="50"/>
      <c r="S16" s="57"/>
    </row>
    <row r="17" spans="1:19" s="60" customFormat="1" x14ac:dyDescent="0.25">
      <c r="A17" s="58"/>
      <c r="B17" s="46">
        <f t="shared" si="0"/>
        <v>8</v>
      </c>
      <c r="C17" s="52" t="s">
        <v>9</v>
      </c>
      <c r="D17" s="72" t="s">
        <v>355</v>
      </c>
      <c r="E17" s="37" t="s">
        <v>67</v>
      </c>
      <c r="F17" s="37" t="s">
        <v>124</v>
      </c>
      <c r="G17" s="62" t="s">
        <v>161</v>
      </c>
      <c r="H17" s="37" t="s">
        <v>212</v>
      </c>
      <c r="I17" s="37" t="s">
        <v>344</v>
      </c>
      <c r="J17" s="37" t="s">
        <v>343</v>
      </c>
      <c r="K17" s="37" t="s">
        <v>305</v>
      </c>
      <c r="L17" s="37">
        <v>3</v>
      </c>
      <c r="M17" s="37">
        <f t="shared" si="1"/>
        <v>6</v>
      </c>
      <c r="N17" s="50">
        <v>50</v>
      </c>
      <c r="O17" s="65" t="s">
        <v>341</v>
      </c>
      <c r="P17" s="38">
        <v>5.1000000000000004E-3</v>
      </c>
      <c r="Q17" s="38">
        <f>P17*N17</f>
        <v>0.255</v>
      </c>
      <c r="R17" s="37"/>
      <c r="S17" s="57"/>
    </row>
    <row r="18" spans="1:19" s="60" customFormat="1" x14ac:dyDescent="0.25">
      <c r="A18" s="58"/>
      <c r="B18" s="46">
        <f t="shared" si="0"/>
        <v>9</v>
      </c>
      <c r="C18" s="52" t="s">
        <v>9</v>
      </c>
      <c r="D18" s="72" t="s">
        <v>387</v>
      </c>
      <c r="E18" s="37" t="s">
        <v>58</v>
      </c>
      <c r="F18" s="37" t="s">
        <v>121</v>
      </c>
      <c r="G18" s="37" t="s">
        <v>154</v>
      </c>
      <c r="H18" s="37" t="s">
        <v>209</v>
      </c>
      <c r="I18" s="37" t="s">
        <v>335</v>
      </c>
      <c r="J18" s="37" t="s">
        <v>241</v>
      </c>
      <c r="K18" s="37" t="s">
        <v>297</v>
      </c>
      <c r="L18" s="37">
        <v>3</v>
      </c>
      <c r="M18" s="37">
        <f t="shared" si="1"/>
        <v>6</v>
      </c>
      <c r="N18" s="37">
        <v>50</v>
      </c>
      <c r="O18" s="65" t="s">
        <v>341</v>
      </c>
      <c r="P18" s="38">
        <v>1.5599999999999999E-2</v>
      </c>
      <c r="Q18" s="38">
        <f>P18*N18</f>
        <v>0.77999999999999992</v>
      </c>
      <c r="R18" s="37"/>
      <c r="S18" s="57"/>
    </row>
    <row r="19" spans="1:19" s="60" customFormat="1" x14ac:dyDescent="0.25">
      <c r="A19" s="58"/>
      <c r="B19" s="46">
        <f t="shared" si="0"/>
        <v>10</v>
      </c>
      <c r="C19" s="52" t="s">
        <v>9</v>
      </c>
      <c r="D19" s="73" t="s">
        <v>356</v>
      </c>
      <c r="E19" s="37" t="s">
        <v>68</v>
      </c>
      <c r="F19" s="37" t="s">
        <v>121</v>
      </c>
      <c r="G19" s="37" t="s">
        <v>162</v>
      </c>
      <c r="H19" s="37" t="s">
        <v>209</v>
      </c>
      <c r="I19" s="37" t="s">
        <v>335</v>
      </c>
      <c r="J19" s="37" t="s">
        <v>250</v>
      </c>
      <c r="K19" s="37" t="s">
        <v>306</v>
      </c>
      <c r="L19" s="50">
        <v>4</v>
      </c>
      <c r="M19" s="37">
        <f t="shared" si="1"/>
        <v>8</v>
      </c>
      <c r="N19" s="50">
        <v>100</v>
      </c>
      <c r="O19" s="65" t="s">
        <v>341</v>
      </c>
      <c r="P19" s="38">
        <v>3.0000000000000001E-3</v>
      </c>
      <c r="Q19" s="51">
        <f t="shared" ref="Q19" si="5">P19*N19</f>
        <v>0.3</v>
      </c>
      <c r="R19" s="50"/>
      <c r="S19" s="57"/>
    </row>
    <row r="20" spans="1:19" s="60" customFormat="1" x14ac:dyDescent="0.25">
      <c r="A20" s="58"/>
      <c r="B20" s="46"/>
      <c r="C20" s="52"/>
      <c r="D20" s="72" t="s">
        <v>357</v>
      </c>
      <c r="E20" s="37" t="s">
        <v>358</v>
      </c>
      <c r="F20" s="37" t="s">
        <v>121</v>
      </c>
      <c r="G20" s="37" t="s">
        <v>359</v>
      </c>
      <c r="H20" s="37" t="s">
        <v>209</v>
      </c>
      <c r="I20" s="37" t="s">
        <v>335</v>
      </c>
      <c r="J20" s="37" t="s">
        <v>360</v>
      </c>
      <c r="K20" s="37" t="s">
        <v>361</v>
      </c>
      <c r="L20" s="37">
        <v>1</v>
      </c>
      <c r="M20" s="37">
        <f t="shared" si="1"/>
        <v>2</v>
      </c>
      <c r="N20" s="37">
        <v>100</v>
      </c>
      <c r="O20" s="65" t="s">
        <v>341</v>
      </c>
      <c r="P20" s="38">
        <v>2.2000000000000001E-3</v>
      </c>
      <c r="Q20" s="38">
        <f>P20*N20</f>
        <v>0.22</v>
      </c>
      <c r="R20" s="37"/>
      <c r="S20" s="57"/>
    </row>
    <row r="21" spans="1:19" s="60" customFormat="1" x14ac:dyDescent="0.25">
      <c r="A21" s="58"/>
      <c r="B21" s="47">
        <f t="shared" ref="B21:B78" si="6">ROW(B21) - ROW($B$9)</f>
        <v>12</v>
      </c>
      <c r="C21" s="52" t="s">
        <v>9</v>
      </c>
      <c r="D21" s="73" t="s">
        <v>362</v>
      </c>
      <c r="E21" s="50" t="s">
        <v>59</v>
      </c>
      <c r="F21" s="50" t="s">
        <v>121</v>
      </c>
      <c r="G21" s="50" t="s">
        <v>155</v>
      </c>
      <c r="H21" s="50" t="s">
        <v>209</v>
      </c>
      <c r="I21" s="50" t="s">
        <v>335</v>
      </c>
      <c r="J21" s="50" t="s">
        <v>242</v>
      </c>
      <c r="K21" s="50" t="s">
        <v>298</v>
      </c>
      <c r="L21" s="50">
        <v>1</v>
      </c>
      <c r="M21" s="37">
        <f t="shared" si="1"/>
        <v>2</v>
      </c>
      <c r="N21" s="37">
        <v>20</v>
      </c>
      <c r="O21" s="66" t="s">
        <v>341</v>
      </c>
      <c r="P21" s="51">
        <v>3.5700000000000003E-2</v>
      </c>
      <c r="Q21" s="51">
        <f t="shared" ref="Q21" si="7">P21*N21</f>
        <v>0.71400000000000008</v>
      </c>
      <c r="R21" s="50"/>
      <c r="S21" s="57"/>
    </row>
    <row r="22" spans="1:19" s="60" customFormat="1" ht="24" x14ac:dyDescent="0.25">
      <c r="A22" s="58"/>
      <c r="B22" s="47">
        <f t="shared" si="6"/>
        <v>13</v>
      </c>
      <c r="C22" s="52" t="s">
        <v>11</v>
      </c>
      <c r="D22" s="73" t="s">
        <v>29</v>
      </c>
      <c r="E22" s="50" t="s">
        <v>69</v>
      </c>
      <c r="F22" s="50" t="s">
        <v>127</v>
      </c>
      <c r="G22" s="50" t="s">
        <v>163</v>
      </c>
      <c r="H22" s="50" t="s">
        <v>213</v>
      </c>
      <c r="I22" s="50" t="s">
        <v>335</v>
      </c>
      <c r="J22" s="50" t="s">
        <v>251</v>
      </c>
      <c r="K22" s="50" t="s">
        <v>335</v>
      </c>
      <c r="L22" s="50">
        <v>2</v>
      </c>
      <c r="M22" s="37">
        <f t="shared" si="1"/>
        <v>4</v>
      </c>
      <c r="N22" s="37">
        <v>10</v>
      </c>
      <c r="O22" s="66" t="s">
        <v>341</v>
      </c>
      <c r="P22" s="51">
        <v>4.48E-2</v>
      </c>
      <c r="Q22" s="38">
        <f>P22*N22</f>
        <v>0.44800000000000001</v>
      </c>
      <c r="R22" s="37"/>
      <c r="S22" s="57"/>
    </row>
    <row r="23" spans="1:19" s="60" customFormat="1" x14ac:dyDescent="0.25">
      <c r="A23" s="58"/>
      <c r="B23" s="46">
        <f>ROW(B23) - ROW($B$9)</f>
        <v>14</v>
      </c>
      <c r="C23" s="52" t="s">
        <v>10</v>
      </c>
      <c r="D23" s="72" t="s">
        <v>30</v>
      </c>
      <c r="E23" s="37" t="s">
        <v>70</v>
      </c>
      <c r="F23" s="37" t="s">
        <v>128</v>
      </c>
      <c r="G23" s="37" t="s">
        <v>164</v>
      </c>
      <c r="H23" s="37" t="s">
        <v>214</v>
      </c>
      <c r="I23" s="37" t="s">
        <v>335</v>
      </c>
      <c r="J23" s="37" t="s">
        <v>252</v>
      </c>
      <c r="K23" s="50" t="s">
        <v>335</v>
      </c>
      <c r="L23" s="37">
        <v>1</v>
      </c>
      <c r="M23" s="37">
        <f t="shared" si="1"/>
        <v>2</v>
      </c>
      <c r="N23" s="50">
        <v>20</v>
      </c>
      <c r="O23" s="65" t="s">
        <v>341</v>
      </c>
      <c r="P23" s="38">
        <v>0.39460000000000001</v>
      </c>
      <c r="Q23" s="51">
        <f t="shared" ref="Q23" si="8">P23*N23</f>
        <v>7.8920000000000003</v>
      </c>
      <c r="R23" s="67" t="s">
        <v>416</v>
      </c>
      <c r="S23" s="57"/>
    </row>
    <row r="24" spans="1:19" s="60" customFormat="1" ht="36" x14ac:dyDescent="0.25">
      <c r="A24" s="58"/>
      <c r="B24" s="47">
        <f t="shared" si="6"/>
        <v>15</v>
      </c>
      <c r="C24" s="53" t="s">
        <v>11</v>
      </c>
      <c r="D24" s="73" t="s">
        <v>397</v>
      </c>
      <c r="E24" s="50" t="s">
        <v>71</v>
      </c>
      <c r="F24" s="50" t="s">
        <v>129</v>
      </c>
      <c r="G24" s="50" t="s">
        <v>165</v>
      </c>
      <c r="H24" s="50" t="s">
        <v>215</v>
      </c>
      <c r="I24" s="50" t="s">
        <v>335</v>
      </c>
      <c r="J24" s="50" t="s">
        <v>253</v>
      </c>
      <c r="K24" s="50" t="s">
        <v>335</v>
      </c>
      <c r="L24" s="50">
        <v>3</v>
      </c>
      <c r="M24" s="37">
        <f t="shared" si="1"/>
        <v>6</v>
      </c>
      <c r="N24" s="50">
        <v>20</v>
      </c>
      <c r="O24" s="66" t="s">
        <v>341</v>
      </c>
      <c r="P24" s="51">
        <v>3.32E-2</v>
      </c>
      <c r="Q24" s="38">
        <f>P24*N24</f>
        <v>0.66400000000000003</v>
      </c>
      <c r="R24" s="37"/>
      <c r="S24" s="57"/>
    </row>
    <row r="25" spans="1:19" s="60" customFormat="1" x14ac:dyDescent="0.25">
      <c r="A25" s="58"/>
      <c r="B25" s="46">
        <f>ROW(B25) - ROW($B$9)</f>
        <v>16</v>
      </c>
      <c r="C25" s="52" t="s">
        <v>11</v>
      </c>
      <c r="D25" s="72" t="s">
        <v>31</v>
      </c>
      <c r="E25" s="37" t="s">
        <v>72</v>
      </c>
      <c r="F25" s="37" t="s">
        <v>128</v>
      </c>
      <c r="G25" s="37" t="s">
        <v>166</v>
      </c>
      <c r="H25" s="37" t="s">
        <v>216</v>
      </c>
      <c r="I25" s="37" t="s">
        <v>335</v>
      </c>
      <c r="J25" s="37" t="s">
        <v>254</v>
      </c>
      <c r="K25" s="50" t="s">
        <v>335</v>
      </c>
      <c r="L25" s="37">
        <v>2</v>
      </c>
      <c r="M25" s="37">
        <f t="shared" si="1"/>
        <v>4</v>
      </c>
      <c r="N25" s="37">
        <v>20</v>
      </c>
      <c r="O25" s="65" t="s">
        <v>341</v>
      </c>
      <c r="P25" s="38">
        <v>2.12E-2</v>
      </c>
      <c r="Q25" s="51">
        <f t="shared" ref="Q25" si="9">P25*N25</f>
        <v>0.42399999999999999</v>
      </c>
      <c r="R25" s="50"/>
      <c r="S25" s="57"/>
    </row>
    <row r="26" spans="1:19" s="60" customFormat="1" ht="36" x14ac:dyDescent="0.25">
      <c r="A26" s="58"/>
      <c r="B26" s="47">
        <f t="shared" si="6"/>
        <v>17</v>
      </c>
      <c r="C26" s="53" t="s">
        <v>12</v>
      </c>
      <c r="D26" s="73" t="s">
        <v>32</v>
      </c>
      <c r="E26" s="50" t="s">
        <v>73</v>
      </c>
      <c r="F26" s="50" t="s">
        <v>130</v>
      </c>
      <c r="G26" s="50" t="s">
        <v>167</v>
      </c>
      <c r="H26" s="50" t="s">
        <v>217</v>
      </c>
      <c r="I26" s="50" t="s">
        <v>335</v>
      </c>
      <c r="J26" s="50" t="s">
        <v>255</v>
      </c>
      <c r="K26" s="50" t="s">
        <v>335</v>
      </c>
      <c r="L26" s="50">
        <v>1</v>
      </c>
      <c r="M26" s="37">
        <f t="shared" si="1"/>
        <v>2</v>
      </c>
      <c r="N26" s="50">
        <v>10</v>
      </c>
      <c r="O26" s="66" t="s">
        <v>341</v>
      </c>
      <c r="P26" s="51">
        <v>4.7199999999999999E-2</v>
      </c>
      <c r="Q26" s="38">
        <f>P26*N26</f>
        <v>0.47199999999999998</v>
      </c>
      <c r="R26" s="37"/>
      <c r="S26" s="57"/>
    </row>
    <row r="27" spans="1:19" s="60" customFormat="1" ht="24" x14ac:dyDescent="0.25">
      <c r="A27" s="58"/>
      <c r="B27" s="46">
        <f>ROW(B27) - ROW($B$9)</f>
        <v>18</v>
      </c>
      <c r="C27" s="52" t="s">
        <v>13</v>
      </c>
      <c r="D27" s="72" t="s">
        <v>398</v>
      </c>
      <c r="E27" s="37" t="s">
        <v>74</v>
      </c>
      <c r="F27" s="37" t="s">
        <v>131</v>
      </c>
      <c r="G27" s="37" t="s">
        <v>168</v>
      </c>
      <c r="H27" s="37" t="s">
        <v>212</v>
      </c>
      <c r="I27" s="37" t="s">
        <v>335</v>
      </c>
      <c r="J27" s="37" t="s">
        <v>256</v>
      </c>
      <c r="K27" s="50" t="s">
        <v>335</v>
      </c>
      <c r="L27" s="37">
        <v>3</v>
      </c>
      <c r="M27" s="37">
        <f t="shared" si="1"/>
        <v>6</v>
      </c>
      <c r="N27" s="37">
        <v>20</v>
      </c>
      <c r="O27" s="65" t="s">
        <v>341</v>
      </c>
      <c r="P27" s="38">
        <v>3.2199999999999999E-2</v>
      </c>
      <c r="Q27" s="51">
        <f t="shared" ref="Q27" si="10">P27*N27</f>
        <v>0.64400000000000002</v>
      </c>
      <c r="R27" s="50"/>
      <c r="S27" s="57"/>
    </row>
    <row r="28" spans="1:19" s="60" customFormat="1" x14ac:dyDescent="0.25">
      <c r="A28" s="58"/>
      <c r="B28" s="47">
        <f t="shared" si="6"/>
        <v>19</v>
      </c>
      <c r="C28" s="53" t="s">
        <v>13</v>
      </c>
      <c r="D28" s="73" t="s">
        <v>399</v>
      </c>
      <c r="E28" s="50" t="s">
        <v>75</v>
      </c>
      <c r="F28" s="50" t="s">
        <v>132</v>
      </c>
      <c r="G28" s="50" t="s">
        <v>169</v>
      </c>
      <c r="H28" s="50" t="s">
        <v>218</v>
      </c>
      <c r="I28" s="50" t="s">
        <v>335</v>
      </c>
      <c r="J28" s="50" t="s">
        <v>257</v>
      </c>
      <c r="K28" s="50" t="s">
        <v>335</v>
      </c>
      <c r="L28" s="50">
        <v>4</v>
      </c>
      <c r="M28" s="37">
        <f t="shared" si="1"/>
        <v>8</v>
      </c>
      <c r="N28" s="50">
        <v>10</v>
      </c>
      <c r="O28" s="66" t="s">
        <v>341</v>
      </c>
      <c r="P28" s="51">
        <v>0.1399</v>
      </c>
      <c r="Q28" s="38">
        <f>P28*N28</f>
        <v>1.399</v>
      </c>
      <c r="R28" s="90" t="s">
        <v>416</v>
      </c>
      <c r="S28" s="57"/>
    </row>
    <row r="29" spans="1:19" s="60" customFormat="1" ht="24" x14ac:dyDescent="0.25">
      <c r="A29" s="58"/>
      <c r="B29" s="46">
        <f>ROW(B29) - ROW($B$9)</f>
        <v>20</v>
      </c>
      <c r="C29" s="52" t="s">
        <v>14</v>
      </c>
      <c r="D29" s="72" t="s">
        <v>33</v>
      </c>
      <c r="E29" s="37" t="s">
        <v>76</v>
      </c>
      <c r="F29" s="37" t="s">
        <v>337</v>
      </c>
      <c r="G29" s="37" t="s">
        <v>170</v>
      </c>
      <c r="H29" s="37" t="s">
        <v>219</v>
      </c>
      <c r="I29" s="37" t="s">
        <v>335</v>
      </c>
      <c r="J29" s="37" t="s">
        <v>258</v>
      </c>
      <c r="K29" s="50" t="s">
        <v>335</v>
      </c>
      <c r="L29" s="37">
        <v>1</v>
      </c>
      <c r="M29" s="37">
        <f t="shared" si="1"/>
        <v>2</v>
      </c>
      <c r="N29" s="37">
        <v>5</v>
      </c>
      <c r="O29" s="65" t="s">
        <v>341</v>
      </c>
      <c r="P29" s="38">
        <v>0.21740000000000001</v>
      </c>
      <c r="Q29" s="51">
        <f t="shared" ref="Q29" si="11">P29*N29</f>
        <v>1.087</v>
      </c>
      <c r="R29" s="50"/>
      <c r="S29" s="57"/>
    </row>
    <row r="30" spans="1:19" s="60" customFormat="1" ht="36" x14ac:dyDescent="0.25">
      <c r="A30" s="58"/>
      <c r="B30" s="47">
        <f t="shared" si="6"/>
        <v>21</v>
      </c>
      <c r="C30" s="53" t="s">
        <v>15</v>
      </c>
      <c r="D30" s="73" t="s">
        <v>34</v>
      </c>
      <c r="E30" s="50" t="s">
        <v>77</v>
      </c>
      <c r="F30" s="50" t="s">
        <v>337</v>
      </c>
      <c r="G30" s="50" t="s">
        <v>171</v>
      </c>
      <c r="H30" s="50" t="s">
        <v>220</v>
      </c>
      <c r="I30" s="50" t="s">
        <v>335</v>
      </c>
      <c r="J30" s="50" t="s">
        <v>259</v>
      </c>
      <c r="K30" s="50" t="s">
        <v>335</v>
      </c>
      <c r="L30" s="50">
        <v>1</v>
      </c>
      <c r="M30" s="37">
        <f t="shared" si="1"/>
        <v>2</v>
      </c>
      <c r="N30" s="50">
        <v>20</v>
      </c>
      <c r="O30" s="66" t="s">
        <v>341</v>
      </c>
      <c r="P30" s="51">
        <v>3.39E-2</v>
      </c>
      <c r="Q30" s="38">
        <f>P30*N30</f>
        <v>0.67799999999999994</v>
      </c>
      <c r="R30" s="37"/>
      <c r="S30" s="57"/>
    </row>
    <row r="31" spans="1:19" s="60" customFormat="1" ht="36" x14ac:dyDescent="0.25">
      <c r="A31" s="58"/>
      <c r="B31" s="46">
        <f>ROW(B31) - ROW($B$9)</f>
        <v>22</v>
      </c>
      <c r="C31" s="52" t="s">
        <v>16</v>
      </c>
      <c r="D31" s="72" t="s">
        <v>35</v>
      </c>
      <c r="E31" s="37" t="s">
        <v>78</v>
      </c>
      <c r="F31" s="37" t="s">
        <v>337</v>
      </c>
      <c r="G31" s="37" t="s">
        <v>172</v>
      </c>
      <c r="H31" s="37" t="s">
        <v>221</v>
      </c>
      <c r="I31" s="37" t="s">
        <v>335</v>
      </c>
      <c r="J31" s="37" t="s">
        <v>172</v>
      </c>
      <c r="K31" s="50" t="s">
        <v>335</v>
      </c>
      <c r="L31" s="37">
        <v>1</v>
      </c>
      <c r="M31" s="37">
        <f t="shared" si="1"/>
        <v>2</v>
      </c>
      <c r="N31" s="37">
        <v>12</v>
      </c>
      <c r="O31" s="65" t="s">
        <v>341</v>
      </c>
      <c r="P31" s="38">
        <v>7.1999999999999995E-2</v>
      </c>
      <c r="Q31" s="51">
        <f t="shared" ref="Q31" si="12">P31*N31</f>
        <v>0.86399999999999988</v>
      </c>
      <c r="R31" s="50"/>
      <c r="S31" s="57"/>
    </row>
    <row r="32" spans="1:19" s="60" customFormat="1" ht="48" x14ac:dyDescent="0.25">
      <c r="A32" s="58"/>
      <c r="B32" s="47">
        <f t="shared" si="6"/>
        <v>23</v>
      </c>
      <c r="C32" s="53" t="s">
        <v>15</v>
      </c>
      <c r="D32" s="61" t="s">
        <v>36</v>
      </c>
      <c r="E32" s="61" t="s">
        <v>79</v>
      </c>
      <c r="F32" s="61" t="s">
        <v>337</v>
      </c>
      <c r="G32" s="61" t="s">
        <v>133</v>
      </c>
      <c r="H32" s="61" t="s">
        <v>222</v>
      </c>
      <c r="I32" s="61" t="s">
        <v>335</v>
      </c>
      <c r="J32" s="61" t="s">
        <v>260</v>
      </c>
      <c r="K32" s="61" t="s">
        <v>307</v>
      </c>
      <c r="L32" s="61">
        <v>1</v>
      </c>
      <c r="M32" s="37">
        <f t="shared" si="1"/>
        <v>2</v>
      </c>
      <c r="N32" s="50">
        <v>20</v>
      </c>
      <c r="O32" s="61" t="s">
        <v>335</v>
      </c>
      <c r="P32" s="64" t="s">
        <v>335</v>
      </c>
      <c r="Q32" s="38" t="s">
        <v>335</v>
      </c>
      <c r="R32" s="67" t="s">
        <v>342</v>
      </c>
      <c r="S32" s="57"/>
    </row>
    <row r="33" spans="1:19" s="60" customFormat="1" x14ac:dyDescent="0.25">
      <c r="A33" s="58"/>
      <c r="B33" s="46">
        <f>ROW(B33) - ROW($B$9)</f>
        <v>24</v>
      </c>
      <c r="C33" s="52" t="s">
        <v>17</v>
      </c>
      <c r="D33" s="72" t="s">
        <v>37</v>
      </c>
      <c r="E33" s="37" t="s">
        <v>80</v>
      </c>
      <c r="F33" s="37" t="s">
        <v>134</v>
      </c>
      <c r="G33" s="62">
        <v>61300211121</v>
      </c>
      <c r="H33" s="37" t="s">
        <v>223</v>
      </c>
      <c r="I33" s="37" t="s">
        <v>345</v>
      </c>
      <c r="J33" s="37" t="s">
        <v>346</v>
      </c>
      <c r="K33" s="37" t="s">
        <v>335</v>
      </c>
      <c r="L33" s="37">
        <v>2</v>
      </c>
      <c r="M33" s="37">
        <f t="shared" si="1"/>
        <v>4</v>
      </c>
      <c r="N33" s="37">
        <v>50</v>
      </c>
      <c r="O33" s="65" t="s">
        <v>341</v>
      </c>
      <c r="P33" s="38">
        <v>1.1900000000000001E-2</v>
      </c>
      <c r="Q33" s="76">
        <f>P33*N33</f>
        <v>0.59500000000000008</v>
      </c>
      <c r="R33" s="75"/>
      <c r="S33" s="74"/>
    </row>
    <row r="34" spans="1:19" s="60" customFormat="1" ht="36" x14ac:dyDescent="0.25">
      <c r="A34" s="58"/>
      <c r="B34" s="47">
        <f t="shared" si="6"/>
        <v>25</v>
      </c>
      <c r="C34" s="53" t="s">
        <v>18</v>
      </c>
      <c r="D34" s="73" t="s">
        <v>38</v>
      </c>
      <c r="E34" s="50" t="s">
        <v>81</v>
      </c>
      <c r="F34" s="50" t="s">
        <v>337</v>
      </c>
      <c r="G34" s="50" t="s">
        <v>173</v>
      </c>
      <c r="H34" s="50" t="s">
        <v>224</v>
      </c>
      <c r="I34" s="50" t="s">
        <v>335</v>
      </c>
      <c r="J34" s="50" t="s">
        <v>261</v>
      </c>
      <c r="K34" s="50" t="s">
        <v>308</v>
      </c>
      <c r="L34" s="50">
        <v>1</v>
      </c>
      <c r="M34" s="37">
        <f t="shared" si="1"/>
        <v>2</v>
      </c>
      <c r="N34" s="73">
        <v>5</v>
      </c>
      <c r="O34" s="66" t="s">
        <v>341</v>
      </c>
      <c r="P34" s="51">
        <v>0.27589999999999998</v>
      </c>
      <c r="Q34" s="38">
        <f>P34*N34</f>
        <v>1.3794999999999999</v>
      </c>
      <c r="R34" s="37"/>
      <c r="S34" s="57"/>
    </row>
    <row r="35" spans="1:19" s="60" customFormat="1" ht="36" x14ac:dyDescent="0.25">
      <c r="A35" s="58"/>
      <c r="B35" s="46">
        <f>ROW(B35) - ROW($B$9)</f>
        <v>26</v>
      </c>
      <c r="C35" s="52" t="s">
        <v>18</v>
      </c>
      <c r="D35" s="72" t="s">
        <v>39</v>
      </c>
      <c r="E35" s="37" t="s">
        <v>82</v>
      </c>
      <c r="F35" s="37" t="s">
        <v>337</v>
      </c>
      <c r="G35" s="37" t="s">
        <v>174</v>
      </c>
      <c r="H35" s="37" t="s">
        <v>224</v>
      </c>
      <c r="I35" s="37" t="s">
        <v>335</v>
      </c>
      <c r="J35" s="37" t="s">
        <v>262</v>
      </c>
      <c r="K35" s="37" t="s">
        <v>309</v>
      </c>
      <c r="L35" s="37">
        <v>1</v>
      </c>
      <c r="M35" s="37">
        <f t="shared" si="1"/>
        <v>2</v>
      </c>
      <c r="N35" s="37">
        <v>3</v>
      </c>
      <c r="O35" s="65" t="s">
        <v>341</v>
      </c>
      <c r="P35" s="38">
        <v>0.48070000000000002</v>
      </c>
      <c r="Q35" s="51">
        <f t="shared" ref="Q35" si="13">P35*N35</f>
        <v>1.4420999999999999</v>
      </c>
      <c r="R35" s="50"/>
      <c r="S35" s="57"/>
    </row>
    <row r="36" spans="1:19" s="60" customFormat="1" ht="24" x14ac:dyDescent="0.25">
      <c r="A36" s="58"/>
      <c r="B36" s="47">
        <f t="shared" si="6"/>
        <v>27</v>
      </c>
      <c r="C36" s="53" t="s">
        <v>19</v>
      </c>
      <c r="D36" s="73" t="s">
        <v>40</v>
      </c>
      <c r="E36" s="50" t="s">
        <v>83</v>
      </c>
      <c r="F36" s="50" t="s">
        <v>135</v>
      </c>
      <c r="G36" s="50" t="s">
        <v>175</v>
      </c>
      <c r="H36" s="50" t="s">
        <v>225</v>
      </c>
      <c r="I36" s="50" t="s">
        <v>335</v>
      </c>
      <c r="J36" s="50" t="s">
        <v>263</v>
      </c>
      <c r="K36" s="50" t="s">
        <v>335</v>
      </c>
      <c r="L36" s="50">
        <v>1</v>
      </c>
      <c r="M36" s="37">
        <f t="shared" si="1"/>
        <v>2</v>
      </c>
      <c r="N36" s="50">
        <v>20</v>
      </c>
      <c r="O36" s="66" t="s">
        <v>341</v>
      </c>
      <c r="P36" s="51">
        <v>2.6499999999999999E-2</v>
      </c>
      <c r="Q36" s="38">
        <f>P36*N36</f>
        <v>0.53</v>
      </c>
      <c r="R36" s="37"/>
      <c r="S36" s="57"/>
    </row>
    <row r="37" spans="1:19" s="60" customFormat="1" ht="24" x14ac:dyDescent="0.25">
      <c r="A37" s="58"/>
      <c r="B37" s="46">
        <f>ROW(B37) - ROW($B$9)</f>
        <v>28</v>
      </c>
      <c r="C37" s="52" t="s">
        <v>19</v>
      </c>
      <c r="D37" s="72" t="s">
        <v>41</v>
      </c>
      <c r="E37" s="37" t="s">
        <v>84</v>
      </c>
      <c r="F37" s="37" t="s">
        <v>135</v>
      </c>
      <c r="G37" s="37" t="s">
        <v>176</v>
      </c>
      <c r="H37" s="37" t="s">
        <v>225</v>
      </c>
      <c r="I37" s="37" t="s">
        <v>335</v>
      </c>
      <c r="J37" s="37" t="s">
        <v>264</v>
      </c>
      <c r="K37" s="37" t="s">
        <v>335</v>
      </c>
      <c r="L37" s="37">
        <v>1</v>
      </c>
      <c r="M37" s="37">
        <f t="shared" si="1"/>
        <v>2</v>
      </c>
      <c r="N37" s="37">
        <v>20</v>
      </c>
      <c r="O37" s="65" t="s">
        <v>341</v>
      </c>
      <c r="P37" s="38">
        <v>2.3300000000000001E-2</v>
      </c>
      <c r="Q37" s="51">
        <f t="shared" ref="Q37" si="14">P37*N37</f>
        <v>0.46600000000000003</v>
      </c>
      <c r="R37" s="50"/>
      <c r="S37" s="57"/>
    </row>
    <row r="38" spans="1:19" s="60" customFormat="1" ht="24" x14ac:dyDescent="0.25">
      <c r="A38" s="58"/>
      <c r="B38" s="47">
        <f t="shared" si="6"/>
        <v>29</v>
      </c>
      <c r="C38" s="53" t="s">
        <v>19</v>
      </c>
      <c r="D38" s="73" t="s">
        <v>42</v>
      </c>
      <c r="E38" s="50" t="s">
        <v>85</v>
      </c>
      <c r="F38" s="50" t="s">
        <v>135</v>
      </c>
      <c r="G38" s="50" t="s">
        <v>177</v>
      </c>
      <c r="H38" s="50" t="s">
        <v>225</v>
      </c>
      <c r="I38" s="50" t="s">
        <v>335</v>
      </c>
      <c r="J38" s="50" t="s">
        <v>265</v>
      </c>
      <c r="K38" s="37" t="s">
        <v>335</v>
      </c>
      <c r="L38" s="50">
        <v>1</v>
      </c>
      <c r="M38" s="37">
        <f t="shared" si="1"/>
        <v>2</v>
      </c>
      <c r="N38" s="50">
        <v>20</v>
      </c>
      <c r="O38" s="66" t="s">
        <v>341</v>
      </c>
      <c r="P38" s="51">
        <v>3.2199999999999999E-2</v>
      </c>
      <c r="Q38" s="38">
        <f>P38*N38</f>
        <v>0.64400000000000002</v>
      </c>
      <c r="R38" s="37"/>
      <c r="S38" s="57"/>
    </row>
    <row r="39" spans="1:19" s="60" customFormat="1" ht="36" x14ac:dyDescent="0.25">
      <c r="A39" s="58"/>
      <c r="B39" s="46">
        <f>ROW(B39) - ROW($B$9)</f>
        <v>30</v>
      </c>
      <c r="C39" s="52" t="s">
        <v>20</v>
      </c>
      <c r="D39" s="72" t="s">
        <v>43</v>
      </c>
      <c r="E39" s="37" t="s">
        <v>86</v>
      </c>
      <c r="F39" s="37" t="s">
        <v>136</v>
      </c>
      <c r="G39" s="37" t="s">
        <v>178</v>
      </c>
      <c r="H39" s="37" t="s">
        <v>226</v>
      </c>
      <c r="I39" s="37" t="s">
        <v>335</v>
      </c>
      <c r="J39" s="37" t="s">
        <v>266</v>
      </c>
      <c r="K39" s="37" t="s">
        <v>335</v>
      </c>
      <c r="L39" s="37">
        <v>1</v>
      </c>
      <c r="M39" s="37">
        <f t="shared" si="1"/>
        <v>2</v>
      </c>
      <c r="N39" s="37">
        <v>5</v>
      </c>
      <c r="O39" s="65" t="s">
        <v>341</v>
      </c>
      <c r="P39" s="38">
        <v>0.18590000000000001</v>
      </c>
      <c r="Q39" s="51">
        <f t="shared" ref="Q39:Q41" si="15">P39*N39</f>
        <v>0.92949999999999999</v>
      </c>
      <c r="R39" s="50"/>
      <c r="S39" s="57"/>
    </row>
    <row r="40" spans="1:19" s="60" customFormat="1" ht="24" x14ac:dyDescent="0.25">
      <c r="A40" s="58"/>
      <c r="B40" s="47">
        <f t="shared" si="6"/>
        <v>31</v>
      </c>
      <c r="C40" s="53" t="s">
        <v>21</v>
      </c>
      <c r="D40" s="61" t="s">
        <v>400</v>
      </c>
      <c r="E40" s="61" t="s">
        <v>87</v>
      </c>
      <c r="F40" s="61" t="s">
        <v>337</v>
      </c>
      <c r="G40" s="61" t="s">
        <v>335</v>
      </c>
      <c r="H40" s="61" t="s">
        <v>335</v>
      </c>
      <c r="I40" s="61" t="s">
        <v>335</v>
      </c>
      <c r="J40" s="61" t="s">
        <v>335</v>
      </c>
      <c r="K40" s="62" t="s">
        <v>335</v>
      </c>
      <c r="L40" s="61">
        <v>14</v>
      </c>
      <c r="M40" s="37">
        <f t="shared" si="1"/>
        <v>28</v>
      </c>
      <c r="N40" s="50">
        <v>20</v>
      </c>
      <c r="O40" s="61" t="s">
        <v>335</v>
      </c>
      <c r="P40" s="61" t="s">
        <v>335</v>
      </c>
      <c r="Q40" s="51" t="s">
        <v>335</v>
      </c>
      <c r="R40" s="67" t="s">
        <v>342</v>
      </c>
      <c r="S40" s="57"/>
    </row>
    <row r="41" spans="1:19" s="60" customFormat="1" ht="24" x14ac:dyDescent="0.25">
      <c r="A41" s="58"/>
      <c r="B41" s="46">
        <f>ROW(B41) - ROW($B$9)</f>
        <v>32</v>
      </c>
      <c r="C41" s="52" t="s">
        <v>22</v>
      </c>
      <c r="D41" s="72" t="s">
        <v>44</v>
      </c>
      <c r="E41" s="37" t="s">
        <v>88</v>
      </c>
      <c r="F41" s="37" t="s">
        <v>137</v>
      </c>
      <c r="G41" s="37" t="s">
        <v>179</v>
      </c>
      <c r="H41" s="37" t="s">
        <v>227</v>
      </c>
      <c r="I41" s="37" t="s">
        <v>335</v>
      </c>
      <c r="J41" s="37" t="s">
        <v>267</v>
      </c>
      <c r="K41" s="37" t="s">
        <v>335</v>
      </c>
      <c r="L41" s="37">
        <v>1</v>
      </c>
      <c r="M41" s="37">
        <f t="shared" si="1"/>
        <v>2</v>
      </c>
      <c r="N41" s="37">
        <v>5</v>
      </c>
      <c r="O41" s="65" t="s">
        <v>341</v>
      </c>
      <c r="P41" s="38">
        <v>0.11609999999999999</v>
      </c>
      <c r="Q41" s="51">
        <f t="shared" si="15"/>
        <v>0.58050000000000002</v>
      </c>
      <c r="R41" s="61"/>
      <c r="S41" s="61"/>
    </row>
    <row r="42" spans="1:19" s="60" customFormat="1" ht="36" x14ac:dyDescent="0.25">
      <c r="A42" s="58"/>
      <c r="B42" s="47">
        <f t="shared" si="6"/>
        <v>33</v>
      </c>
      <c r="C42" s="53" t="s">
        <v>22</v>
      </c>
      <c r="D42" s="73" t="s">
        <v>401</v>
      </c>
      <c r="E42" s="50" t="s">
        <v>89</v>
      </c>
      <c r="F42" s="50" t="s">
        <v>138</v>
      </c>
      <c r="G42" s="50" t="s">
        <v>180</v>
      </c>
      <c r="H42" s="50" t="s">
        <v>228</v>
      </c>
      <c r="I42" s="50" t="s">
        <v>335</v>
      </c>
      <c r="J42" s="50" t="s">
        <v>268</v>
      </c>
      <c r="K42" s="37" t="s">
        <v>335</v>
      </c>
      <c r="L42" s="50">
        <v>2</v>
      </c>
      <c r="M42" s="37">
        <f t="shared" si="1"/>
        <v>4</v>
      </c>
      <c r="N42" s="73">
        <v>10</v>
      </c>
      <c r="O42" s="66" t="s">
        <v>341</v>
      </c>
      <c r="P42" s="51">
        <v>4.6899999999999997E-2</v>
      </c>
      <c r="Q42" s="38">
        <f>P42*N42</f>
        <v>0.46899999999999997</v>
      </c>
      <c r="R42" s="37"/>
      <c r="S42" s="57"/>
    </row>
    <row r="43" spans="1:19" s="60" customFormat="1" ht="48" x14ac:dyDescent="0.25">
      <c r="A43" s="58"/>
      <c r="B43" s="46">
        <f t="shared" si="6"/>
        <v>34</v>
      </c>
      <c r="C43" s="52" t="s">
        <v>22</v>
      </c>
      <c r="D43" s="72" t="s">
        <v>45</v>
      </c>
      <c r="E43" s="37" t="s">
        <v>90</v>
      </c>
      <c r="F43" s="37" t="s">
        <v>139</v>
      </c>
      <c r="G43" s="37" t="s">
        <v>181</v>
      </c>
      <c r="H43" s="37" t="s">
        <v>229</v>
      </c>
      <c r="I43" s="37" t="s">
        <v>335</v>
      </c>
      <c r="J43" s="37" t="s">
        <v>269</v>
      </c>
      <c r="K43" s="37" t="s">
        <v>335</v>
      </c>
      <c r="L43" s="37">
        <v>4</v>
      </c>
      <c r="M43" s="37">
        <f t="shared" si="1"/>
        <v>8</v>
      </c>
      <c r="N43" s="37">
        <v>20</v>
      </c>
      <c r="O43" s="65" t="s">
        <v>341</v>
      </c>
      <c r="P43" s="38">
        <v>3.2800000000000003E-2</v>
      </c>
      <c r="Q43" s="51">
        <f t="shared" ref="Q43:Q44" si="16">P43*N43</f>
        <v>0.65600000000000003</v>
      </c>
      <c r="R43" s="50"/>
      <c r="S43" s="57"/>
    </row>
    <row r="44" spans="1:19" s="60" customFormat="1" x14ac:dyDescent="0.25">
      <c r="A44" s="58"/>
      <c r="B44" s="47">
        <f t="shared" si="6"/>
        <v>35</v>
      </c>
      <c r="C44" s="53" t="s">
        <v>23</v>
      </c>
      <c r="D44" s="73" t="s">
        <v>402</v>
      </c>
      <c r="E44" s="50" t="s">
        <v>403</v>
      </c>
      <c r="F44" s="50" t="s">
        <v>404</v>
      </c>
      <c r="G44" s="50" t="s">
        <v>405</v>
      </c>
      <c r="H44" s="50" t="s">
        <v>209</v>
      </c>
      <c r="I44" s="50" t="s">
        <v>335</v>
      </c>
      <c r="J44" s="50" t="s">
        <v>406</v>
      </c>
      <c r="K44" s="50" t="s">
        <v>407</v>
      </c>
      <c r="L44" s="50">
        <v>1</v>
      </c>
      <c r="M44" s="37">
        <f t="shared" si="1"/>
        <v>2</v>
      </c>
      <c r="N44" s="50">
        <v>100</v>
      </c>
      <c r="O44" s="66" t="s">
        <v>341</v>
      </c>
      <c r="P44" s="51">
        <v>1.5E-3</v>
      </c>
      <c r="Q44" s="51">
        <f t="shared" si="16"/>
        <v>0.15</v>
      </c>
      <c r="R44" s="50"/>
      <c r="S44" s="57"/>
    </row>
    <row r="45" spans="1:19" s="60" customFormat="1" x14ac:dyDescent="0.25">
      <c r="A45" s="58"/>
      <c r="B45" s="47">
        <f>ROW(B45) - ROW($B$9)</f>
        <v>36</v>
      </c>
      <c r="C45" s="53" t="s">
        <v>23</v>
      </c>
      <c r="D45" s="73" t="s">
        <v>363</v>
      </c>
      <c r="E45" s="50" t="s">
        <v>91</v>
      </c>
      <c r="F45" s="50" t="s">
        <v>140</v>
      </c>
      <c r="G45" s="50" t="s">
        <v>182</v>
      </c>
      <c r="H45" s="50" t="s">
        <v>209</v>
      </c>
      <c r="I45" s="50" t="s">
        <v>335</v>
      </c>
      <c r="J45" s="50" t="s">
        <v>270</v>
      </c>
      <c r="K45" s="50" t="s">
        <v>310</v>
      </c>
      <c r="L45" s="50">
        <v>4</v>
      </c>
      <c r="M45" s="37">
        <f t="shared" si="1"/>
        <v>8</v>
      </c>
      <c r="N45" s="37">
        <v>100</v>
      </c>
      <c r="O45" s="66" t="s">
        <v>341</v>
      </c>
      <c r="P45" s="51">
        <v>1.1000000000000001E-3</v>
      </c>
      <c r="Q45" s="38">
        <f>P45*N45</f>
        <v>0.11</v>
      </c>
      <c r="R45" s="37"/>
      <c r="S45" s="57"/>
    </row>
    <row r="46" spans="1:19" s="60" customFormat="1" ht="24" x14ac:dyDescent="0.25">
      <c r="A46" s="58"/>
      <c r="B46" s="46">
        <f t="shared" si="6"/>
        <v>37</v>
      </c>
      <c r="C46" s="53" t="s">
        <v>23</v>
      </c>
      <c r="D46" s="73" t="s">
        <v>408</v>
      </c>
      <c r="E46" s="37" t="s">
        <v>92</v>
      </c>
      <c r="F46" s="37" t="s">
        <v>140</v>
      </c>
      <c r="G46" s="37" t="s">
        <v>183</v>
      </c>
      <c r="H46" s="37" t="s">
        <v>209</v>
      </c>
      <c r="I46" s="37" t="s">
        <v>335</v>
      </c>
      <c r="J46" s="37" t="s">
        <v>271</v>
      </c>
      <c r="K46" s="37" t="s">
        <v>311</v>
      </c>
      <c r="L46" s="37">
        <v>13</v>
      </c>
      <c r="M46" s="37">
        <f t="shared" si="1"/>
        <v>26</v>
      </c>
      <c r="N46" s="37">
        <v>100</v>
      </c>
      <c r="O46" s="65" t="s">
        <v>341</v>
      </c>
      <c r="P46" s="38">
        <v>1E-3</v>
      </c>
      <c r="Q46" s="38">
        <f>P46*N46</f>
        <v>0.1</v>
      </c>
      <c r="R46" s="37"/>
      <c r="S46" s="57"/>
    </row>
    <row r="47" spans="1:19" s="60" customFormat="1" ht="48" x14ac:dyDescent="0.25">
      <c r="A47" s="58"/>
      <c r="B47" s="46">
        <f t="shared" si="6"/>
        <v>38</v>
      </c>
      <c r="C47" s="52" t="s">
        <v>23</v>
      </c>
      <c r="D47" s="72" t="s">
        <v>364</v>
      </c>
      <c r="E47" s="37" t="s">
        <v>93</v>
      </c>
      <c r="F47" s="37" t="s">
        <v>141</v>
      </c>
      <c r="G47" s="37" t="s">
        <v>184</v>
      </c>
      <c r="H47" s="37" t="s">
        <v>230</v>
      </c>
      <c r="I47" s="37" t="s">
        <v>335</v>
      </c>
      <c r="J47" s="37" t="s">
        <v>272</v>
      </c>
      <c r="K47" s="37" t="s">
        <v>312</v>
      </c>
      <c r="L47" s="37">
        <v>1</v>
      </c>
      <c r="M47" s="37">
        <f t="shared" si="1"/>
        <v>2</v>
      </c>
      <c r="N47" s="50">
        <v>50</v>
      </c>
      <c r="O47" s="65" t="s">
        <v>341</v>
      </c>
      <c r="P47" s="38">
        <v>9.9000000000000008E-3</v>
      </c>
      <c r="Q47" s="51">
        <f t="shared" ref="Q47" si="17">P47*N47</f>
        <v>0.49500000000000005</v>
      </c>
      <c r="R47" s="50"/>
      <c r="S47" s="57"/>
    </row>
    <row r="48" spans="1:19" s="60" customFormat="1" x14ac:dyDescent="0.25">
      <c r="A48" s="58"/>
      <c r="B48" s="46">
        <f t="shared" si="6"/>
        <v>39</v>
      </c>
      <c r="C48" s="53" t="s">
        <v>23</v>
      </c>
      <c r="D48" s="73" t="s">
        <v>365</v>
      </c>
      <c r="E48" s="37" t="s">
        <v>96</v>
      </c>
      <c r="F48" s="37" t="s">
        <v>140</v>
      </c>
      <c r="G48" s="37" t="s">
        <v>187</v>
      </c>
      <c r="H48" s="37" t="s">
        <v>209</v>
      </c>
      <c r="I48" s="37" t="s">
        <v>335</v>
      </c>
      <c r="J48" s="37" t="s">
        <v>274</v>
      </c>
      <c r="K48" s="37" t="s">
        <v>315</v>
      </c>
      <c r="L48" s="37">
        <v>1</v>
      </c>
      <c r="M48" s="37">
        <f t="shared" si="1"/>
        <v>2</v>
      </c>
      <c r="N48" s="50">
        <v>20</v>
      </c>
      <c r="O48" s="65" t="s">
        <v>341</v>
      </c>
      <c r="P48" s="38">
        <v>2.5399999999999999E-2</v>
      </c>
      <c r="Q48" s="38">
        <f>P48*N48</f>
        <v>0.50800000000000001</v>
      </c>
      <c r="R48" s="37"/>
      <c r="S48" s="57"/>
    </row>
    <row r="49" spans="1:19" s="60" customFormat="1" x14ac:dyDescent="0.25">
      <c r="A49" s="58"/>
      <c r="B49" s="47">
        <f t="shared" si="6"/>
        <v>40</v>
      </c>
      <c r="C49" s="53" t="s">
        <v>23</v>
      </c>
      <c r="D49" s="72" t="s">
        <v>366</v>
      </c>
      <c r="E49" s="50" t="s">
        <v>97</v>
      </c>
      <c r="F49" s="50" t="s">
        <v>140</v>
      </c>
      <c r="G49" s="50" t="s">
        <v>188</v>
      </c>
      <c r="H49" s="50" t="s">
        <v>209</v>
      </c>
      <c r="I49" s="50" t="s">
        <v>335</v>
      </c>
      <c r="J49" s="50" t="s">
        <v>275</v>
      </c>
      <c r="K49" s="50" t="s">
        <v>316</v>
      </c>
      <c r="L49" s="50">
        <v>1</v>
      </c>
      <c r="M49" s="37">
        <f t="shared" si="1"/>
        <v>2</v>
      </c>
      <c r="N49" s="50">
        <v>100</v>
      </c>
      <c r="O49" s="66" t="s">
        <v>341</v>
      </c>
      <c r="P49" s="51">
        <v>1.2999999999999999E-3</v>
      </c>
      <c r="Q49" s="51">
        <f t="shared" ref="Q49" si="18">P49*N49</f>
        <v>0.13</v>
      </c>
      <c r="R49" s="50"/>
      <c r="S49" s="57"/>
    </row>
    <row r="50" spans="1:19" s="60" customFormat="1" x14ac:dyDescent="0.25">
      <c r="A50" s="58"/>
      <c r="B50" s="47">
        <f t="shared" si="6"/>
        <v>41</v>
      </c>
      <c r="C50" s="53" t="s">
        <v>23</v>
      </c>
      <c r="D50" s="73" t="s">
        <v>46</v>
      </c>
      <c r="E50" s="50" t="s">
        <v>99</v>
      </c>
      <c r="F50" s="50" t="s">
        <v>140</v>
      </c>
      <c r="G50" s="50" t="s">
        <v>190</v>
      </c>
      <c r="H50" s="50" t="s">
        <v>209</v>
      </c>
      <c r="I50" s="50" t="s">
        <v>335</v>
      </c>
      <c r="J50" s="50" t="s">
        <v>277</v>
      </c>
      <c r="K50" s="50" t="s">
        <v>318</v>
      </c>
      <c r="L50" s="50">
        <v>1</v>
      </c>
      <c r="M50" s="37">
        <f t="shared" si="1"/>
        <v>2</v>
      </c>
      <c r="N50" s="37">
        <v>100</v>
      </c>
      <c r="O50" s="66" t="s">
        <v>341</v>
      </c>
      <c r="P50" s="51">
        <v>1.1999999999999999E-3</v>
      </c>
      <c r="Q50" s="38">
        <f>P50*N50</f>
        <v>0.12</v>
      </c>
      <c r="R50" s="37"/>
      <c r="S50" s="57"/>
    </row>
    <row r="51" spans="1:19" s="60" customFormat="1" x14ac:dyDescent="0.25">
      <c r="A51" s="58"/>
      <c r="B51" s="46">
        <f t="shared" si="6"/>
        <v>42</v>
      </c>
      <c r="C51" s="52" t="s">
        <v>23</v>
      </c>
      <c r="D51" s="72" t="s">
        <v>47</v>
      </c>
      <c r="E51" s="37" t="s">
        <v>100</v>
      </c>
      <c r="F51" s="37" t="s">
        <v>140</v>
      </c>
      <c r="G51" s="37" t="s">
        <v>191</v>
      </c>
      <c r="H51" s="37" t="s">
        <v>209</v>
      </c>
      <c r="I51" s="37" t="s">
        <v>335</v>
      </c>
      <c r="J51" s="37" t="s">
        <v>278</v>
      </c>
      <c r="K51" s="37" t="s">
        <v>319</v>
      </c>
      <c r="L51" s="37">
        <v>1</v>
      </c>
      <c r="M51" s="37">
        <f t="shared" si="1"/>
        <v>2</v>
      </c>
      <c r="N51" s="37">
        <v>100</v>
      </c>
      <c r="O51" s="65" t="s">
        <v>341</v>
      </c>
      <c r="P51" s="38">
        <v>1.4E-3</v>
      </c>
      <c r="Q51" s="51">
        <f t="shared" ref="Q51" si="19">P51*N51</f>
        <v>0.13999999999999999</v>
      </c>
      <c r="R51" s="50"/>
      <c r="S51" s="57"/>
    </row>
    <row r="52" spans="1:19" s="60" customFormat="1" x14ac:dyDescent="0.25">
      <c r="A52" s="58"/>
      <c r="B52" s="46">
        <f t="shared" si="6"/>
        <v>43</v>
      </c>
      <c r="C52" s="53" t="s">
        <v>23</v>
      </c>
      <c r="D52" s="73" t="s">
        <v>367</v>
      </c>
      <c r="E52" s="37" t="s">
        <v>98</v>
      </c>
      <c r="F52" s="37" t="s">
        <v>140</v>
      </c>
      <c r="G52" s="37" t="s">
        <v>189</v>
      </c>
      <c r="H52" s="37" t="s">
        <v>209</v>
      </c>
      <c r="I52" s="37" t="s">
        <v>335</v>
      </c>
      <c r="J52" s="37" t="s">
        <v>276</v>
      </c>
      <c r="K52" s="37" t="s">
        <v>317</v>
      </c>
      <c r="L52" s="37">
        <v>6</v>
      </c>
      <c r="M52" s="37">
        <f t="shared" si="1"/>
        <v>12</v>
      </c>
      <c r="N52" s="37">
        <v>100</v>
      </c>
      <c r="O52" s="65" t="s">
        <v>341</v>
      </c>
      <c r="P52" s="38">
        <v>1.1000000000000001E-3</v>
      </c>
      <c r="Q52" s="38">
        <f>P52*N52</f>
        <v>0.11</v>
      </c>
      <c r="R52" s="37"/>
      <c r="S52" s="57"/>
    </row>
    <row r="53" spans="1:19" s="60" customFormat="1" x14ac:dyDescent="0.25">
      <c r="A53" s="58"/>
      <c r="B53" s="47">
        <f t="shared" si="6"/>
        <v>44</v>
      </c>
      <c r="C53" s="52" t="s">
        <v>23</v>
      </c>
      <c r="D53" s="72" t="s">
        <v>368</v>
      </c>
      <c r="E53" s="50" t="s">
        <v>101</v>
      </c>
      <c r="F53" s="50" t="s">
        <v>140</v>
      </c>
      <c r="G53" s="50" t="s">
        <v>192</v>
      </c>
      <c r="H53" s="50" t="s">
        <v>209</v>
      </c>
      <c r="I53" s="50" t="s">
        <v>335</v>
      </c>
      <c r="J53" s="50" t="s">
        <v>279</v>
      </c>
      <c r="K53" s="50" t="s">
        <v>320</v>
      </c>
      <c r="L53" s="50">
        <v>1</v>
      </c>
      <c r="M53" s="37">
        <f t="shared" si="1"/>
        <v>2</v>
      </c>
      <c r="N53" s="50">
        <v>100</v>
      </c>
      <c r="O53" s="66" t="s">
        <v>341</v>
      </c>
      <c r="P53" s="51">
        <v>1.2999999999999999E-3</v>
      </c>
      <c r="Q53" s="51">
        <f t="shared" ref="Q53" si="20">P53*N53</f>
        <v>0.13</v>
      </c>
      <c r="R53" s="50"/>
      <c r="S53" s="57"/>
    </row>
    <row r="54" spans="1:19" s="60" customFormat="1" x14ac:dyDescent="0.25">
      <c r="A54" s="58"/>
      <c r="B54" s="46">
        <f t="shared" si="6"/>
        <v>45</v>
      </c>
      <c r="C54" s="52" t="s">
        <v>23</v>
      </c>
      <c r="D54" s="73" t="s">
        <v>369</v>
      </c>
      <c r="E54" s="37" t="s">
        <v>102</v>
      </c>
      <c r="F54" s="37" t="s">
        <v>140</v>
      </c>
      <c r="G54" s="37" t="s">
        <v>193</v>
      </c>
      <c r="H54" s="37" t="s">
        <v>209</v>
      </c>
      <c r="I54" s="37" t="s">
        <v>335</v>
      </c>
      <c r="J54" s="37" t="s">
        <v>280</v>
      </c>
      <c r="K54" s="37" t="s">
        <v>321</v>
      </c>
      <c r="L54" s="37">
        <v>2</v>
      </c>
      <c r="M54" s="37">
        <f t="shared" si="1"/>
        <v>4</v>
      </c>
      <c r="N54" s="50">
        <v>100</v>
      </c>
      <c r="O54" s="65" t="s">
        <v>341</v>
      </c>
      <c r="P54" s="38">
        <v>1.1999999999999999E-3</v>
      </c>
      <c r="Q54" s="38">
        <f>P54*N54</f>
        <v>0.12</v>
      </c>
      <c r="R54" s="37"/>
      <c r="S54" s="57"/>
    </row>
    <row r="55" spans="1:19" s="60" customFormat="1" x14ac:dyDescent="0.25">
      <c r="A55" s="58"/>
      <c r="B55" s="47">
        <f t="shared" si="6"/>
        <v>46</v>
      </c>
      <c r="C55" s="53" t="s">
        <v>23</v>
      </c>
      <c r="D55" s="72" t="s">
        <v>370</v>
      </c>
      <c r="E55" s="50" t="s">
        <v>103</v>
      </c>
      <c r="F55" s="50" t="s">
        <v>140</v>
      </c>
      <c r="G55" s="50" t="s">
        <v>194</v>
      </c>
      <c r="H55" s="50" t="s">
        <v>209</v>
      </c>
      <c r="I55" s="50" t="s">
        <v>335</v>
      </c>
      <c r="J55" s="50" t="s">
        <v>281</v>
      </c>
      <c r="K55" s="50" t="s">
        <v>322</v>
      </c>
      <c r="L55" s="50">
        <v>1</v>
      </c>
      <c r="M55" s="37">
        <f t="shared" si="1"/>
        <v>2</v>
      </c>
      <c r="N55" s="37">
        <v>100</v>
      </c>
      <c r="O55" s="66" t="s">
        <v>341</v>
      </c>
      <c r="P55" s="51">
        <v>1.5E-3</v>
      </c>
      <c r="Q55" s="51">
        <f t="shared" ref="Q55" si="21">P55*N55</f>
        <v>0.15</v>
      </c>
      <c r="R55" s="50"/>
      <c r="S55" s="57"/>
    </row>
    <row r="56" spans="1:19" s="60" customFormat="1" x14ac:dyDescent="0.25">
      <c r="A56" s="58"/>
      <c r="B56" s="46">
        <f t="shared" si="6"/>
        <v>47</v>
      </c>
      <c r="C56" s="52" t="s">
        <v>23</v>
      </c>
      <c r="D56" s="73" t="s">
        <v>371</v>
      </c>
      <c r="E56" s="37" t="s">
        <v>104</v>
      </c>
      <c r="F56" s="37" t="s">
        <v>140</v>
      </c>
      <c r="G56" s="37" t="s">
        <v>195</v>
      </c>
      <c r="H56" s="37" t="s">
        <v>209</v>
      </c>
      <c r="I56" s="37" t="s">
        <v>335</v>
      </c>
      <c r="J56" s="37" t="s">
        <v>282</v>
      </c>
      <c r="K56" s="37" t="s">
        <v>323</v>
      </c>
      <c r="L56" s="37">
        <v>5</v>
      </c>
      <c r="M56" s="37">
        <f t="shared" si="1"/>
        <v>10</v>
      </c>
      <c r="N56" s="37">
        <v>100</v>
      </c>
      <c r="O56" s="65" t="s">
        <v>341</v>
      </c>
      <c r="P56" s="38">
        <v>1.1999999999999999E-3</v>
      </c>
      <c r="Q56" s="38">
        <f>P56*N56</f>
        <v>0.12</v>
      </c>
      <c r="R56" s="37"/>
      <c r="S56" s="57"/>
    </row>
    <row r="57" spans="1:19" s="60" customFormat="1" x14ac:dyDescent="0.25">
      <c r="A57" s="58"/>
      <c r="B57" s="47">
        <f t="shared" si="6"/>
        <v>48</v>
      </c>
      <c r="C57" s="53" t="s">
        <v>23</v>
      </c>
      <c r="D57" s="72" t="s">
        <v>372</v>
      </c>
      <c r="E57" s="50" t="s">
        <v>95</v>
      </c>
      <c r="F57" s="50" t="s">
        <v>140</v>
      </c>
      <c r="G57" s="50" t="s">
        <v>186</v>
      </c>
      <c r="H57" s="50" t="s">
        <v>209</v>
      </c>
      <c r="I57" s="50" t="s">
        <v>335</v>
      </c>
      <c r="J57" s="50" t="s">
        <v>338</v>
      </c>
      <c r="K57" s="50" t="s">
        <v>314</v>
      </c>
      <c r="L57" s="50">
        <v>5</v>
      </c>
      <c r="M57" s="37">
        <f t="shared" si="1"/>
        <v>10</v>
      </c>
      <c r="N57" s="50">
        <v>100</v>
      </c>
      <c r="O57" s="66" t="s">
        <v>341</v>
      </c>
      <c r="P57" s="51">
        <v>1.1000000000000001E-3</v>
      </c>
      <c r="Q57" s="51">
        <f t="shared" ref="Q57" si="22">P57*N57</f>
        <v>0.11</v>
      </c>
      <c r="R57" s="50"/>
      <c r="S57" s="57"/>
    </row>
    <row r="58" spans="1:19" s="60" customFormat="1" x14ac:dyDescent="0.25">
      <c r="A58" s="58"/>
      <c r="B58" s="47">
        <f t="shared" si="6"/>
        <v>49</v>
      </c>
      <c r="C58" s="53" t="s">
        <v>23</v>
      </c>
      <c r="D58" s="73" t="s">
        <v>373</v>
      </c>
      <c r="E58" s="50" t="s">
        <v>105</v>
      </c>
      <c r="F58" s="50" t="s">
        <v>140</v>
      </c>
      <c r="G58" s="50" t="s">
        <v>196</v>
      </c>
      <c r="H58" s="50" t="s">
        <v>209</v>
      </c>
      <c r="I58" s="50" t="s">
        <v>335</v>
      </c>
      <c r="J58" s="50" t="s">
        <v>283</v>
      </c>
      <c r="K58" s="50" t="s">
        <v>324</v>
      </c>
      <c r="L58" s="50">
        <v>2</v>
      </c>
      <c r="M58" s="37">
        <f t="shared" si="1"/>
        <v>4</v>
      </c>
      <c r="N58" s="37">
        <v>100</v>
      </c>
      <c r="O58" s="66" t="s">
        <v>341</v>
      </c>
      <c r="P58" s="51">
        <v>1.1999999999999999E-3</v>
      </c>
      <c r="Q58" s="38">
        <f>P58*N58</f>
        <v>0.12</v>
      </c>
      <c r="R58" s="37"/>
      <c r="S58" s="57"/>
    </row>
    <row r="59" spans="1:19" s="60" customFormat="1" x14ac:dyDescent="0.25">
      <c r="A59" s="58"/>
      <c r="B59" s="46">
        <f>ROW(B59) - ROW($B$9)</f>
        <v>50</v>
      </c>
      <c r="C59" s="52" t="s">
        <v>23</v>
      </c>
      <c r="D59" s="37" t="s">
        <v>409</v>
      </c>
      <c r="E59" s="37" t="s">
        <v>94</v>
      </c>
      <c r="F59" s="37" t="s">
        <v>140</v>
      </c>
      <c r="G59" s="37" t="s">
        <v>185</v>
      </c>
      <c r="H59" s="37" t="s">
        <v>209</v>
      </c>
      <c r="I59" s="37" t="s">
        <v>335</v>
      </c>
      <c r="J59" s="37" t="s">
        <v>273</v>
      </c>
      <c r="K59" s="37" t="s">
        <v>313</v>
      </c>
      <c r="L59" s="37">
        <v>2</v>
      </c>
      <c r="M59" s="37">
        <f t="shared" si="1"/>
        <v>4</v>
      </c>
      <c r="N59" s="50">
        <v>100</v>
      </c>
      <c r="O59" s="65" t="s">
        <v>341</v>
      </c>
      <c r="P59" s="38">
        <v>3.0999999999999999E-3</v>
      </c>
      <c r="Q59" s="38">
        <f>P59*N59</f>
        <v>0.31</v>
      </c>
      <c r="R59" s="37"/>
      <c r="S59" s="57"/>
    </row>
    <row r="60" spans="1:19" s="60" customFormat="1" x14ac:dyDescent="0.25">
      <c r="A60" s="58"/>
      <c r="B60" s="46">
        <f>ROW(B60) - ROW($B$9)</f>
        <v>51</v>
      </c>
      <c r="C60" s="52" t="s">
        <v>23</v>
      </c>
      <c r="D60" s="72" t="s">
        <v>374</v>
      </c>
      <c r="E60" s="37" t="s">
        <v>106</v>
      </c>
      <c r="F60" s="37" t="s">
        <v>140</v>
      </c>
      <c r="G60" s="37" t="s">
        <v>197</v>
      </c>
      <c r="H60" s="37" t="s">
        <v>209</v>
      </c>
      <c r="I60" s="37" t="s">
        <v>335</v>
      </c>
      <c r="J60" s="37" t="s">
        <v>284</v>
      </c>
      <c r="K60" s="37" t="s">
        <v>325</v>
      </c>
      <c r="L60" s="37">
        <v>4</v>
      </c>
      <c r="M60" s="37">
        <f t="shared" si="1"/>
        <v>8</v>
      </c>
      <c r="N60" s="37">
        <v>100</v>
      </c>
      <c r="O60" s="65" t="s">
        <v>341</v>
      </c>
      <c r="P60" s="38">
        <v>1.1999999999999999E-3</v>
      </c>
      <c r="Q60" s="51">
        <f t="shared" ref="Q60" si="23">P60*N60</f>
        <v>0.12</v>
      </c>
      <c r="R60" s="50"/>
      <c r="S60" s="57"/>
    </row>
    <row r="61" spans="1:19" s="60" customFormat="1" x14ac:dyDescent="0.25">
      <c r="A61" s="58"/>
      <c r="B61" s="47">
        <f t="shared" si="6"/>
        <v>52</v>
      </c>
      <c r="C61" s="53" t="s">
        <v>23</v>
      </c>
      <c r="D61" s="73" t="s">
        <v>375</v>
      </c>
      <c r="E61" s="50" t="s">
        <v>107</v>
      </c>
      <c r="F61" s="50" t="s">
        <v>140</v>
      </c>
      <c r="G61" s="50" t="s">
        <v>198</v>
      </c>
      <c r="H61" s="50" t="s">
        <v>209</v>
      </c>
      <c r="I61" s="50" t="s">
        <v>335</v>
      </c>
      <c r="J61" s="50" t="s">
        <v>285</v>
      </c>
      <c r="K61" s="50" t="s">
        <v>326</v>
      </c>
      <c r="L61" s="50">
        <v>1</v>
      </c>
      <c r="M61" s="37">
        <f t="shared" si="1"/>
        <v>2</v>
      </c>
      <c r="N61" s="50">
        <v>100</v>
      </c>
      <c r="O61" s="66" t="s">
        <v>341</v>
      </c>
      <c r="P61" s="51">
        <v>1.2999999999999999E-3</v>
      </c>
      <c r="Q61" s="38">
        <f>P61*N61</f>
        <v>0.13</v>
      </c>
      <c r="R61" s="37"/>
      <c r="S61" s="57"/>
    </row>
    <row r="62" spans="1:19" s="60" customFormat="1" ht="24" x14ac:dyDescent="0.25">
      <c r="A62" s="58"/>
      <c r="B62" s="47">
        <f t="shared" si="6"/>
        <v>53</v>
      </c>
      <c r="C62" s="53" t="s">
        <v>24</v>
      </c>
      <c r="D62" s="61" t="s">
        <v>388</v>
      </c>
      <c r="E62" s="61" t="s">
        <v>108</v>
      </c>
      <c r="F62" s="61" t="s">
        <v>337</v>
      </c>
      <c r="G62" s="61" t="s">
        <v>142</v>
      </c>
      <c r="H62" s="61" t="s">
        <v>335</v>
      </c>
      <c r="I62" s="61" t="s">
        <v>335</v>
      </c>
      <c r="J62" s="61" t="s">
        <v>335</v>
      </c>
      <c r="K62" s="68" t="s">
        <v>335</v>
      </c>
      <c r="L62" s="61">
        <v>10</v>
      </c>
      <c r="M62" s="37">
        <f t="shared" si="1"/>
        <v>20</v>
      </c>
      <c r="N62" s="50" t="s">
        <v>335</v>
      </c>
      <c r="O62" s="61" t="s">
        <v>335</v>
      </c>
      <c r="P62" s="61" t="s">
        <v>335</v>
      </c>
      <c r="Q62" s="51" t="s">
        <v>335</v>
      </c>
      <c r="R62" s="50"/>
      <c r="S62" s="57"/>
    </row>
    <row r="63" spans="1:19" s="60" customFormat="1" ht="48" x14ac:dyDescent="0.25">
      <c r="A63" s="58"/>
      <c r="B63" s="46">
        <f>ROW(B63) - ROW($B$9)</f>
        <v>54</v>
      </c>
      <c r="C63" s="52" t="s">
        <v>25</v>
      </c>
      <c r="D63" s="72" t="s">
        <v>376</v>
      </c>
      <c r="E63" s="37" t="s">
        <v>110</v>
      </c>
      <c r="F63" s="50" t="s">
        <v>337</v>
      </c>
      <c r="G63" s="37" t="s">
        <v>144</v>
      </c>
      <c r="H63" s="37" t="s">
        <v>231</v>
      </c>
      <c r="I63" s="37" t="s">
        <v>335</v>
      </c>
      <c r="J63" s="37" t="s">
        <v>287</v>
      </c>
      <c r="K63" s="50" t="s">
        <v>335</v>
      </c>
      <c r="L63" s="37">
        <v>2</v>
      </c>
      <c r="M63" s="37">
        <f t="shared" si="1"/>
        <v>4</v>
      </c>
      <c r="N63" s="37">
        <v>20</v>
      </c>
      <c r="O63" s="65" t="s">
        <v>341</v>
      </c>
      <c r="P63" s="38">
        <v>2.1499999999999998E-2</v>
      </c>
      <c r="Q63" s="77">
        <f>P63*N63</f>
        <v>0.42999999999999994</v>
      </c>
      <c r="R63" s="62"/>
      <c r="S63" s="63"/>
    </row>
    <row r="64" spans="1:19" s="60" customFormat="1" ht="60" x14ac:dyDescent="0.25">
      <c r="A64" s="58"/>
      <c r="B64" s="47">
        <f>ROW(B64) - ROW($B$9)</f>
        <v>55</v>
      </c>
      <c r="C64" s="52" t="s">
        <v>25</v>
      </c>
      <c r="D64" s="73" t="s">
        <v>377</v>
      </c>
      <c r="E64" s="50" t="s">
        <v>111</v>
      </c>
      <c r="F64" s="50" t="s">
        <v>337</v>
      </c>
      <c r="G64" s="50" t="s">
        <v>199</v>
      </c>
      <c r="H64" s="50" t="s">
        <v>232</v>
      </c>
      <c r="I64" s="50" t="s">
        <v>335</v>
      </c>
      <c r="J64" s="50" t="s">
        <v>288</v>
      </c>
      <c r="K64" s="50" t="s">
        <v>335</v>
      </c>
      <c r="L64" s="50">
        <v>1</v>
      </c>
      <c r="M64" s="37">
        <f t="shared" si="1"/>
        <v>2</v>
      </c>
      <c r="N64" s="50">
        <v>20</v>
      </c>
      <c r="O64" s="66" t="s">
        <v>341</v>
      </c>
      <c r="P64" s="51">
        <v>3.5299999999999998E-2</v>
      </c>
      <c r="Q64" s="77">
        <f>P64*N64</f>
        <v>0.70599999999999996</v>
      </c>
      <c r="R64" s="61"/>
      <c r="S64" s="63"/>
    </row>
    <row r="65" spans="1:19" s="60" customFormat="1" ht="48" x14ac:dyDescent="0.25">
      <c r="A65" s="58"/>
      <c r="B65" s="46">
        <f>ROW(B65) - ROW($B$9)</f>
        <v>56</v>
      </c>
      <c r="C65" s="52" t="s">
        <v>25</v>
      </c>
      <c r="D65" s="72" t="s">
        <v>379</v>
      </c>
      <c r="E65" s="37" t="s">
        <v>112</v>
      </c>
      <c r="F65" s="50" t="s">
        <v>337</v>
      </c>
      <c r="G65" s="37" t="s">
        <v>200</v>
      </c>
      <c r="H65" s="37" t="s">
        <v>231</v>
      </c>
      <c r="I65" s="37" t="s">
        <v>335</v>
      </c>
      <c r="J65" s="37" t="s">
        <v>289</v>
      </c>
      <c r="K65" s="50" t="s">
        <v>335</v>
      </c>
      <c r="L65" s="37">
        <v>4</v>
      </c>
      <c r="M65" s="37">
        <f t="shared" si="1"/>
        <v>8</v>
      </c>
      <c r="N65" s="73">
        <v>10</v>
      </c>
      <c r="O65" s="65" t="s">
        <v>341</v>
      </c>
      <c r="P65" s="38">
        <v>4.2799999999999998E-2</v>
      </c>
      <c r="Q65" s="77">
        <f>P65*N65</f>
        <v>0.42799999999999999</v>
      </c>
      <c r="R65" s="50"/>
      <c r="S65" s="57"/>
    </row>
    <row r="66" spans="1:19" s="60" customFormat="1" ht="48" x14ac:dyDescent="0.25">
      <c r="A66" s="58"/>
      <c r="B66" s="47">
        <f t="shared" si="6"/>
        <v>57</v>
      </c>
      <c r="C66" s="53" t="s">
        <v>25</v>
      </c>
      <c r="D66" s="73" t="s">
        <v>378</v>
      </c>
      <c r="E66" s="50" t="s">
        <v>109</v>
      </c>
      <c r="F66" s="50" t="s">
        <v>337</v>
      </c>
      <c r="G66" s="50" t="s">
        <v>143</v>
      </c>
      <c r="H66" s="50" t="s">
        <v>231</v>
      </c>
      <c r="I66" s="50" t="s">
        <v>335</v>
      </c>
      <c r="J66" s="50" t="s">
        <v>286</v>
      </c>
      <c r="K66" s="50" t="s">
        <v>335</v>
      </c>
      <c r="L66" s="50">
        <v>1</v>
      </c>
      <c r="M66" s="37">
        <f t="shared" si="1"/>
        <v>2</v>
      </c>
      <c r="N66" s="37">
        <v>5</v>
      </c>
      <c r="O66" s="66" t="s">
        <v>341</v>
      </c>
      <c r="P66" s="51">
        <v>0.35560000000000003</v>
      </c>
      <c r="Q66" s="38">
        <f>P66*N66</f>
        <v>1.778</v>
      </c>
      <c r="R66" s="37"/>
      <c r="S66" s="57"/>
    </row>
    <row r="67" spans="1:19" s="60" customFormat="1" x14ac:dyDescent="0.25">
      <c r="A67" s="58"/>
      <c r="B67" s="46">
        <f t="shared" si="6"/>
        <v>58</v>
      </c>
      <c r="C67" s="52" t="s">
        <v>26</v>
      </c>
      <c r="D67" s="37" t="s">
        <v>48</v>
      </c>
      <c r="E67" s="37" t="s">
        <v>113</v>
      </c>
      <c r="F67" s="37" t="s">
        <v>146</v>
      </c>
      <c r="G67" s="37" t="s">
        <v>201</v>
      </c>
      <c r="H67" s="37" t="s">
        <v>234</v>
      </c>
      <c r="I67" s="37" t="s">
        <v>335</v>
      </c>
      <c r="J67" s="37" t="s">
        <v>290</v>
      </c>
      <c r="K67" s="50" t="s">
        <v>335</v>
      </c>
      <c r="L67" s="37">
        <v>1</v>
      </c>
      <c r="M67" s="37">
        <f t="shared" si="1"/>
        <v>2</v>
      </c>
      <c r="N67" s="50">
        <v>3</v>
      </c>
      <c r="O67" s="65" t="s">
        <v>341</v>
      </c>
      <c r="P67" s="38">
        <v>0.51070000000000004</v>
      </c>
      <c r="Q67" s="51">
        <f t="shared" ref="Q67" si="24">P67*N67</f>
        <v>1.5321000000000002</v>
      </c>
      <c r="R67" s="50"/>
      <c r="S67" s="57"/>
    </row>
    <row r="68" spans="1:19" s="60" customFormat="1" ht="24" x14ac:dyDescent="0.25">
      <c r="A68" s="58"/>
      <c r="B68" s="46">
        <f t="shared" si="6"/>
        <v>59</v>
      </c>
      <c r="C68" s="52" t="s">
        <v>26</v>
      </c>
      <c r="D68" s="50" t="s">
        <v>49</v>
      </c>
      <c r="E68" s="37" t="s">
        <v>114</v>
      </c>
      <c r="F68" s="37" t="s">
        <v>147</v>
      </c>
      <c r="G68" s="37" t="s">
        <v>202</v>
      </c>
      <c r="H68" s="37" t="s">
        <v>236</v>
      </c>
      <c r="I68" s="37" t="s">
        <v>335</v>
      </c>
      <c r="J68" s="37" t="s">
        <v>291</v>
      </c>
      <c r="K68" s="50" t="s">
        <v>335</v>
      </c>
      <c r="L68" s="37">
        <v>1</v>
      </c>
      <c r="M68" s="37">
        <f t="shared" si="1"/>
        <v>2</v>
      </c>
      <c r="N68" s="37">
        <v>3</v>
      </c>
      <c r="O68" s="65" t="s">
        <v>341</v>
      </c>
      <c r="P68" s="38">
        <v>0.51549999999999996</v>
      </c>
      <c r="Q68" s="38">
        <f>P68*N68</f>
        <v>1.5465</v>
      </c>
      <c r="R68" s="37"/>
      <c r="S68" s="57"/>
    </row>
    <row r="69" spans="1:19" s="60" customFormat="1" ht="36" x14ac:dyDescent="0.25">
      <c r="A69" s="58"/>
      <c r="B69" s="46">
        <f t="shared" si="6"/>
        <v>60</v>
      </c>
      <c r="C69" s="52" t="s">
        <v>26</v>
      </c>
      <c r="D69" s="72" t="s">
        <v>50</v>
      </c>
      <c r="E69" s="37" t="s">
        <v>116</v>
      </c>
      <c r="F69" s="37" t="s">
        <v>149</v>
      </c>
      <c r="G69" s="37" t="s">
        <v>293</v>
      </c>
      <c r="H69" s="37" t="s">
        <v>237</v>
      </c>
      <c r="I69" s="37" t="s">
        <v>335</v>
      </c>
      <c r="J69" s="37" t="s">
        <v>204</v>
      </c>
      <c r="K69" s="50" t="s">
        <v>335</v>
      </c>
      <c r="L69" s="37">
        <v>1</v>
      </c>
      <c r="M69" s="37">
        <f t="shared" si="1"/>
        <v>2</v>
      </c>
      <c r="N69" s="50">
        <v>3</v>
      </c>
      <c r="O69" s="65" t="s">
        <v>341</v>
      </c>
      <c r="P69" s="38">
        <v>0.54890000000000005</v>
      </c>
      <c r="Q69" s="51">
        <f t="shared" ref="Q69" si="25">P69*N69</f>
        <v>1.6467000000000001</v>
      </c>
      <c r="R69" s="67"/>
      <c r="S69" s="57"/>
    </row>
    <row r="70" spans="1:19" s="60" customFormat="1" x14ac:dyDescent="0.25">
      <c r="A70" s="58"/>
      <c r="B70" s="47">
        <f t="shared" si="6"/>
        <v>61</v>
      </c>
      <c r="C70" s="53" t="s">
        <v>27</v>
      </c>
      <c r="D70" s="73" t="s">
        <v>51</v>
      </c>
      <c r="E70" s="50" t="s">
        <v>117</v>
      </c>
      <c r="F70" s="50" t="s">
        <v>150</v>
      </c>
      <c r="G70" s="50" t="s">
        <v>205</v>
      </c>
      <c r="H70" s="50" t="s">
        <v>238</v>
      </c>
      <c r="I70" s="50" t="s">
        <v>335</v>
      </c>
      <c r="J70" s="50" t="s">
        <v>294</v>
      </c>
      <c r="K70" s="50" t="s">
        <v>335</v>
      </c>
      <c r="L70" s="50">
        <v>1</v>
      </c>
      <c r="M70" s="37">
        <f t="shared" si="1"/>
        <v>2</v>
      </c>
      <c r="N70" s="37">
        <v>3</v>
      </c>
      <c r="O70" s="66" t="s">
        <v>341</v>
      </c>
      <c r="P70" s="51">
        <v>3.2519</v>
      </c>
      <c r="Q70" s="38">
        <f>P70*N70</f>
        <v>9.7557000000000009</v>
      </c>
      <c r="R70" s="37"/>
      <c r="S70" s="57"/>
    </row>
    <row r="71" spans="1:19" s="60" customFormat="1" ht="24" x14ac:dyDescent="0.25">
      <c r="A71" s="58"/>
      <c r="B71" s="46">
        <f t="shared" si="6"/>
        <v>62</v>
      </c>
      <c r="C71" s="52" t="s">
        <v>26</v>
      </c>
      <c r="D71" s="73" t="s">
        <v>52</v>
      </c>
      <c r="E71" s="37" t="s">
        <v>118</v>
      </c>
      <c r="F71" s="37" t="s">
        <v>151</v>
      </c>
      <c r="G71" s="37" t="s">
        <v>206</v>
      </c>
      <c r="H71" s="37" t="s">
        <v>239</v>
      </c>
      <c r="I71" s="37" t="s">
        <v>335</v>
      </c>
      <c r="J71" s="37" t="s">
        <v>295</v>
      </c>
      <c r="K71" s="50" t="s">
        <v>335</v>
      </c>
      <c r="L71" s="37">
        <v>1</v>
      </c>
      <c r="M71" s="37">
        <f t="shared" si="1"/>
        <v>2</v>
      </c>
      <c r="N71" s="37">
        <v>3</v>
      </c>
      <c r="O71" s="65" t="s">
        <v>341</v>
      </c>
      <c r="P71" s="38">
        <v>0.96889999999999998</v>
      </c>
      <c r="Q71" s="51">
        <f t="shared" ref="Q71" si="26">P71*N71</f>
        <v>2.9066999999999998</v>
      </c>
      <c r="R71" s="67"/>
      <c r="S71" s="57"/>
    </row>
    <row r="72" spans="1:19" s="60" customFormat="1" x14ac:dyDescent="0.25">
      <c r="A72" s="58"/>
      <c r="B72" s="47">
        <f t="shared" si="6"/>
        <v>63</v>
      </c>
      <c r="C72" s="53" t="s">
        <v>26</v>
      </c>
      <c r="D72" s="73" t="s">
        <v>53</v>
      </c>
      <c r="E72" s="50" t="s">
        <v>119</v>
      </c>
      <c r="F72" s="50" t="s">
        <v>152</v>
      </c>
      <c r="G72" s="50" t="s">
        <v>207</v>
      </c>
      <c r="H72" s="50" t="s">
        <v>216</v>
      </c>
      <c r="I72" s="50" t="s">
        <v>335</v>
      </c>
      <c r="J72" s="50" t="s">
        <v>296</v>
      </c>
      <c r="K72" s="50" t="s">
        <v>335</v>
      </c>
      <c r="L72" s="50">
        <v>1</v>
      </c>
      <c r="M72" s="37">
        <f t="shared" si="1"/>
        <v>2</v>
      </c>
      <c r="N72" s="37">
        <v>3</v>
      </c>
      <c r="O72" s="66" t="s">
        <v>341</v>
      </c>
      <c r="P72" s="51">
        <v>0.73499999999999999</v>
      </c>
      <c r="Q72" s="38">
        <f>P72*N72</f>
        <v>2.2050000000000001</v>
      </c>
      <c r="R72" s="37"/>
      <c r="S72" s="57"/>
    </row>
    <row r="73" spans="1:19" s="60" customFormat="1" ht="24" x14ac:dyDescent="0.25">
      <c r="A73" s="58"/>
      <c r="B73" s="47">
        <f t="shared" si="6"/>
        <v>64</v>
      </c>
      <c r="C73" s="52" t="s">
        <v>26</v>
      </c>
      <c r="D73" s="62" t="s">
        <v>54</v>
      </c>
      <c r="E73" s="62" t="s">
        <v>380</v>
      </c>
      <c r="F73" s="62" t="s">
        <v>145</v>
      </c>
      <c r="G73" s="62" t="s">
        <v>381</v>
      </c>
      <c r="H73" s="62" t="s">
        <v>233</v>
      </c>
      <c r="I73" s="61" t="s">
        <v>335</v>
      </c>
      <c r="J73" s="62" t="s">
        <v>385</v>
      </c>
      <c r="K73" s="62" t="s">
        <v>335</v>
      </c>
      <c r="L73" s="62">
        <v>1</v>
      </c>
      <c r="M73" s="37">
        <f t="shared" si="1"/>
        <v>2</v>
      </c>
      <c r="N73" s="50">
        <v>3</v>
      </c>
      <c r="O73" s="78" t="s">
        <v>341</v>
      </c>
      <c r="P73" s="64" t="s">
        <v>335</v>
      </c>
      <c r="Q73" s="64" t="s">
        <v>335</v>
      </c>
      <c r="R73" s="67" t="s">
        <v>342</v>
      </c>
      <c r="S73" s="57"/>
    </row>
    <row r="74" spans="1:19" s="60" customFormat="1" ht="24" x14ac:dyDescent="0.25">
      <c r="A74" s="58"/>
      <c r="B74" s="47">
        <f t="shared" si="6"/>
        <v>65</v>
      </c>
      <c r="C74" s="53" t="s">
        <v>26</v>
      </c>
      <c r="D74" s="50" t="s">
        <v>55</v>
      </c>
      <c r="E74" s="50" t="s">
        <v>382</v>
      </c>
      <c r="F74" s="50" t="s">
        <v>148</v>
      </c>
      <c r="G74" s="50" t="s">
        <v>383</v>
      </c>
      <c r="H74" s="50" t="s">
        <v>384</v>
      </c>
      <c r="I74" s="50" t="s">
        <v>335</v>
      </c>
      <c r="J74" s="50" t="s">
        <v>386</v>
      </c>
      <c r="K74" s="50" t="s">
        <v>335</v>
      </c>
      <c r="L74" s="50">
        <v>1</v>
      </c>
      <c r="M74" s="37">
        <f t="shared" ref="M74:M78" si="27">L74*2</f>
        <v>2</v>
      </c>
      <c r="N74" s="37">
        <v>3</v>
      </c>
      <c r="O74" s="66" t="s">
        <v>341</v>
      </c>
      <c r="P74" s="51">
        <v>0.16789999999999999</v>
      </c>
      <c r="Q74" s="38">
        <f>P74*N74</f>
        <v>0.50370000000000004</v>
      </c>
      <c r="R74" s="37"/>
      <c r="S74" s="57"/>
    </row>
    <row r="75" spans="1:19" s="60" customFormat="1" x14ac:dyDescent="0.25">
      <c r="A75" s="58"/>
      <c r="B75" s="47">
        <f t="shared" si="6"/>
        <v>66</v>
      </c>
      <c r="C75" s="53" t="s">
        <v>26</v>
      </c>
      <c r="D75" s="37" t="s">
        <v>56</v>
      </c>
      <c r="E75" s="50" t="s">
        <v>115</v>
      </c>
      <c r="F75" s="50" t="s">
        <v>148</v>
      </c>
      <c r="G75" s="50" t="s">
        <v>203</v>
      </c>
      <c r="H75" s="50" t="s">
        <v>235</v>
      </c>
      <c r="I75" s="50" t="s">
        <v>335</v>
      </c>
      <c r="J75" s="50" t="s">
        <v>292</v>
      </c>
      <c r="K75" s="50" t="s">
        <v>335</v>
      </c>
      <c r="L75" s="50">
        <v>1</v>
      </c>
      <c r="M75" s="37">
        <f t="shared" si="27"/>
        <v>2</v>
      </c>
      <c r="N75" s="50">
        <v>3</v>
      </c>
      <c r="O75" s="66" t="s">
        <v>341</v>
      </c>
      <c r="P75" s="51">
        <v>0.2802</v>
      </c>
      <c r="Q75" s="51">
        <f t="shared" ref="Q75:Q77" si="28">P75*N75</f>
        <v>0.84060000000000001</v>
      </c>
      <c r="R75" s="50"/>
      <c r="S75" s="57"/>
    </row>
    <row r="76" spans="1:19" s="60" customFormat="1" ht="24.75" thickBot="1" x14ac:dyDescent="0.3">
      <c r="A76" s="58"/>
      <c r="B76" s="47">
        <f>ROW(B76) - ROW([1]Sheet1!$B$9)</f>
        <v>67</v>
      </c>
      <c r="C76" s="53" t="s">
        <v>26</v>
      </c>
      <c r="D76" s="50" t="s">
        <v>410</v>
      </c>
      <c r="E76" s="50" t="s">
        <v>411</v>
      </c>
      <c r="F76" s="50" t="s">
        <v>412</v>
      </c>
      <c r="G76" s="50" t="s">
        <v>413</v>
      </c>
      <c r="H76" s="50" t="s">
        <v>414</v>
      </c>
      <c r="I76" s="50" t="s">
        <v>335</v>
      </c>
      <c r="J76" s="50" t="s">
        <v>415</v>
      </c>
      <c r="K76" s="50" t="s">
        <v>335</v>
      </c>
      <c r="L76" s="50">
        <v>1</v>
      </c>
      <c r="M76" s="37">
        <f t="shared" si="27"/>
        <v>2</v>
      </c>
      <c r="N76" s="73">
        <v>5</v>
      </c>
      <c r="O76" s="66" t="s">
        <v>341</v>
      </c>
      <c r="P76" s="51">
        <v>3.1690999999999998</v>
      </c>
      <c r="Q76" s="51">
        <f>P76*N76</f>
        <v>15.845499999999999</v>
      </c>
      <c r="R76" s="50"/>
      <c r="S76" s="39"/>
    </row>
    <row r="77" spans="1:19" s="60" customFormat="1" ht="48" x14ac:dyDescent="0.25">
      <c r="A77" s="58"/>
      <c r="B77" s="47">
        <f t="shared" si="6"/>
        <v>68</v>
      </c>
      <c r="C77" s="53" t="s">
        <v>389</v>
      </c>
      <c r="D77" s="37" t="s">
        <v>390</v>
      </c>
      <c r="E77" s="50" t="s">
        <v>394</v>
      </c>
      <c r="F77" s="50" t="s">
        <v>335</v>
      </c>
      <c r="G77" s="50" t="s">
        <v>335</v>
      </c>
      <c r="H77" s="50" t="s">
        <v>335</v>
      </c>
      <c r="I77" s="50" t="s">
        <v>335</v>
      </c>
      <c r="J77" s="50" t="s">
        <v>335</v>
      </c>
      <c r="K77" s="50" t="s">
        <v>335</v>
      </c>
      <c r="L77" s="50">
        <v>1</v>
      </c>
      <c r="M77" s="37">
        <f t="shared" si="27"/>
        <v>2</v>
      </c>
      <c r="N77" s="50">
        <v>5</v>
      </c>
      <c r="O77" s="66" t="s">
        <v>393</v>
      </c>
      <c r="P77" s="51">
        <v>6.26</v>
      </c>
      <c r="Q77" s="51">
        <f t="shared" si="28"/>
        <v>31.299999999999997</v>
      </c>
      <c r="R77" s="50"/>
      <c r="S77" s="57"/>
    </row>
    <row r="78" spans="1:19" s="60" customFormat="1" ht="45.75" thickBot="1" x14ac:dyDescent="0.3">
      <c r="A78" s="58"/>
      <c r="B78" s="47">
        <f t="shared" si="6"/>
        <v>69</v>
      </c>
      <c r="C78" s="53" t="s">
        <v>391</v>
      </c>
      <c r="D78" s="37" t="s">
        <v>390</v>
      </c>
      <c r="E78" s="50" t="s">
        <v>392</v>
      </c>
      <c r="F78" s="50" t="s">
        <v>335</v>
      </c>
      <c r="G78" s="50" t="s">
        <v>335</v>
      </c>
      <c r="H78" s="50" t="s">
        <v>335</v>
      </c>
      <c r="I78" s="50" t="s">
        <v>335</v>
      </c>
      <c r="J78" s="50" t="s">
        <v>335</v>
      </c>
      <c r="K78" s="50" t="s">
        <v>335</v>
      </c>
      <c r="L78" s="50">
        <v>1</v>
      </c>
      <c r="M78" s="37">
        <f t="shared" si="27"/>
        <v>2</v>
      </c>
      <c r="N78" s="50">
        <v>5</v>
      </c>
      <c r="O78" s="66" t="s">
        <v>393</v>
      </c>
      <c r="P78" s="51">
        <v>5.33</v>
      </c>
      <c r="Q78" s="51">
        <f>P78*N78</f>
        <v>26.65</v>
      </c>
      <c r="R78" s="50"/>
      <c r="S78" s="57"/>
    </row>
    <row r="79" spans="1:19" ht="19.5" thickBot="1" x14ac:dyDescent="0.3">
      <c r="B79" s="40"/>
      <c r="C79" s="41"/>
      <c r="D79" s="42"/>
      <c r="E79" s="43"/>
      <c r="F79" s="44"/>
      <c r="G79" s="45"/>
      <c r="H79" s="44"/>
      <c r="I79" s="45"/>
      <c r="J79" s="44"/>
      <c r="K79" s="45"/>
      <c r="L79" s="45"/>
      <c r="M79" s="45"/>
      <c r="N79" s="87" t="s">
        <v>5</v>
      </c>
      <c r="O79" s="88"/>
      <c r="P79" s="88"/>
      <c r="Q79" s="48">
        <f>SUM(Q10:Q78)</f>
        <v>141.04229999999998</v>
      </c>
      <c r="R79" s="83"/>
      <c r="S79" s="84"/>
    </row>
    <row r="80" spans="1:19" ht="19.5" thickBot="1" x14ac:dyDescent="0.3">
      <c r="B80" s="25"/>
      <c r="C80" s="36"/>
      <c r="D80" s="9"/>
      <c r="E80" s="10"/>
      <c r="F80" s="10"/>
      <c r="G80" s="10"/>
      <c r="H80" s="10"/>
      <c r="I80" s="10"/>
      <c r="J80" s="10"/>
      <c r="K80" s="10"/>
      <c r="L80" s="10"/>
      <c r="M80" s="10"/>
      <c r="N80" s="87" t="s">
        <v>6</v>
      </c>
      <c r="O80" s="88"/>
      <c r="P80" s="88"/>
      <c r="Q80" s="89">
        <f>Q79/2</f>
        <v>70.521149999999992</v>
      </c>
      <c r="R80" s="85"/>
      <c r="S80" s="86"/>
    </row>
    <row r="89" spans="17:17" x14ac:dyDescent="0.25">
      <c r="Q89" s="71"/>
    </row>
    <row r="90" spans="17:17" x14ac:dyDescent="0.25">
      <c r="Q90" s="70"/>
    </row>
  </sheetData>
  <mergeCells count="5">
    <mergeCell ref="N79:P79"/>
    <mergeCell ref="R79:S80"/>
    <mergeCell ref="N80:P80"/>
    <mergeCell ref="K1:S1"/>
    <mergeCell ref="S3:S8"/>
  </mergeCells>
  <hyperlinks>
    <hyperlink ref="O18" r:id="rId1"/>
    <hyperlink ref="O21" r:id="rId2"/>
    <hyperlink ref="O12" r:id="rId3"/>
    <hyperlink ref="O10" r:id="rId4"/>
    <hyperlink ref="O11" r:id="rId5"/>
    <hyperlink ref="O13" r:id="rId6"/>
    <hyperlink ref="O15" r:id="rId7"/>
    <hyperlink ref="O16" r:id="rId8"/>
    <hyperlink ref="O19" r:id="rId9"/>
    <hyperlink ref="O22" r:id="rId10"/>
    <hyperlink ref="O23" r:id="rId11"/>
    <hyperlink ref="O24" r:id="rId12"/>
    <hyperlink ref="O25" r:id="rId13"/>
    <hyperlink ref="O26" r:id="rId14"/>
    <hyperlink ref="O27" r:id="rId15"/>
    <hyperlink ref="O28" r:id="rId16"/>
    <hyperlink ref="O29" r:id="rId17"/>
    <hyperlink ref="O30" r:id="rId18"/>
    <hyperlink ref="O31" r:id="rId19"/>
    <hyperlink ref="O34" r:id="rId20"/>
    <hyperlink ref="O35" r:id="rId21"/>
    <hyperlink ref="O36" r:id="rId22"/>
    <hyperlink ref="O37" r:id="rId23"/>
    <hyperlink ref="O38" r:id="rId24"/>
    <hyperlink ref="O39" r:id="rId25"/>
    <hyperlink ref="O41" r:id="rId26"/>
    <hyperlink ref="O42" r:id="rId27"/>
    <hyperlink ref="O43" r:id="rId28"/>
    <hyperlink ref="O45" r:id="rId29"/>
    <hyperlink ref="O46" r:id="rId30"/>
    <hyperlink ref="O47" r:id="rId31"/>
    <hyperlink ref="O57" r:id="rId32"/>
    <hyperlink ref="O48" r:id="rId33"/>
    <hyperlink ref="O49" r:id="rId34"/>
    <hyperlink ref="O52" r:id="rId35"/>
    <hyperlink ref="O50" r:id="rId36"/>
    <hyperlink ref="O51" r:id="rId37"/>
    <hyperlink ref="O53" r:id="rId38"/>
    <hyperlink ref="O54" r:id="rId39"/>
    <hyperlink ref="O55" r:id="rId40"/>
    <hyperlink ref="O56" r:id="rId41"/>
    <hyperlink ref="O58" r:id="rId42"/>
    <hyperlink ref="O60" r:id="rId43"/>
    <hyperlink ref="O61" r:id="rId44"/>
    <hyperlink ref="O66" r:id="rId45"/>
    <hyperlink ref="O63" r:id="rId46"/>
    <hyperlink ref="O64" r:id="rId47"/>
    <hyperlink ref="O65" r:id="rId48"/>
    <hyperlink ref="O67" r:id="rId49"/>
    <hyperlink ref="O68" r:id="rId50"/>
    <hyperlink ref="O75" r:id="rId51"/>
    <hyperlink ref="O70" r:id="rId52"/>
    <hyperlink ref="O71" r:id="rId53"/>
    <hyperlink ref="O72" r:id="rId54"/>
    <hyperlink ref="O69" r:id="rId55"/>
    <hyperlink ref="O17" r:id="rId56"/>
    <hyperlink ref="O33" r:id="rId57"/>
    <hyperlink ref="O20" r:id="rId58"/>
    <hyperlink ref="O73" r:id="rId59"/>
    <hyperlink ref="O74" r:id="rId60"/>
    <hyperlink ref="O14" r:id="rId61"/>
    <hyperlink ref="O78" r:id="rId62"/>
    <hyperlink ref="O77" r:id="rId63"/>
    <hyperlink ref="O44" r:id="rId64"/>
    <hyperlink ref="O59" r:id="rId65"/>
    <hyperlink ref="O76" r:id="rId66"/>
  </hyperlinks>
  <pageMargins left="0.7" right="0.7" top="0.75" bottom="0.75" header="0.3" footer="0.3"/>
  <pageSetup orientation="portrait" r:id="rId67"/>
  <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2023-03-20T13:16:39Z</dcterms:modified>
</cp:coreProperties>
</file>