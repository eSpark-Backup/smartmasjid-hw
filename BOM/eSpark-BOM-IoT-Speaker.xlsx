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BOM\"/>
    </mc:Choice>
  </mc:AlternateContent>
  <bookViews>
    <workbookView xWindow="28680" yWindow="-120" windowWidth="29040" windowHeight="15840" activeTab="2"/>
  </bookViews>
  <sheets>
    <sheet name="2 Boards" sheetId="2" r:id="rId1"/>
    <sheet name="5 Boards" sheetId="1" r:id="rId2"/>
    <sheet name="50 Boards" sheetId="3" r:id="rId3"/>
    <sheet name="500 Boards" sheetId="4" r:id="rId4"/>
    <sheet name="3000 Boards" sheetId="5" r:id="rId5"/>
  </sheets>
  <calcPr calcId="162913"/>
</workbook>
</file>

<file path=xl/calcChain.xml><?xml version="1.0" encoding="utf-8"?>
<calcChain xmlns="http://schemas.openxmlformats.org/spreadsheetml/2006/main">
  <c r="M11" i="4" l="1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10" i="3"/>
  <c r="Q58" i="5"/>
  <c r="M58" i="5"/>
  <c r="B58" i="5"/>
  <c r="Q57" i="5"/>
  <c r="M57" i="5"/>
  <c r="B57" i="5"/>
  <c r="Q56" i="5"/>
  <c r="M56" i="5"/>
  <c r="B56" i="5"/>
  <c r="Q55" i="5"/>
  <c r="M55" i="5"/>
  <c r="B55" i="5"/>
  <c r="Q54" i="5"/>
  <c r="M54" i="5"/>
  <c r="B54" i="5"/>
  <c r="Q53" i="5"/>
  <c r="M53" i="5"/>
  <c r="B53" i="5"/>
  <c r="Q52" i="5"/>
  <c r="M52" i="5"/>
  <c r="B52" i="5"/>
  <c r="Q51" i="5"/>
  <c r="M51" i="5"/>
  <c r="B51" i="5"/>
  <c r="Q50" i="5"/>
  <c r="M50" i="5"/>
  <c r="B50" i="5"/>
  <c r="Q49" i="5"/>
  <c r="M49" i="5"/>
  <c r="B49" i="5"/>
  <c r="Q48" i="5"/>
  <c r="M48" i="5"/>
  <c r="B48" i="5"/>
  <c r="Q47" i="5"/>
  <c r="M47" i="5"/>
  <c r="B47" i="5"/>
  <c r="M46" i="5"/>
  <c r="B46" i="5"/>
  <c r="Q45" i="5"/>
  <c r="M45" i="5"/>
  <c r="B45" i="5"/>
  <c r="Q44" i="5"/>
  <c r="M44" i="5"/>
  <c r="B44" i="5"/>
  <c r="Q43" i="5"/>
  <c r="M43" i="5"/>
  <c r="B43" i="5"/>
  <c r="Q42" i="5"/>
  <c r="M42" i="5"/>
  <c r="B42" i="5"/>
  <c r="Q41" i="5"/>
  <c r="M41" i="5"/>
  <c r="B41" i="5"/>
  <c r="Q40" i="5"/>
  <c r="M40" i="5"/>
  <c r="B40" i="5"/>
  <c r="Q39" i="5"/>
  <c r="M39" i="5"/>
  <c r="B39" i="5"/>
  <c r="Q38" i="5"/>
  <c r="M38" i="5"/>
  <c r="B38" i="5"/>
  <c r="Q37" i="5"/>
  <c r="M37" i="5"/>
  <c r="B37" i="5"/>
  <c r="Q36" i="5"/>
  <c r="M36" i="5"/>
  <c r="B36" i="5"/>
  <c r="Q35" i="5"/>
  <c r="M35" i="5"/>
  <c r="B35" i="5"/>
  <c r="Q34" i="5"/>
  <c r="M34" i="5"/>
  <c r="B34" i="5"/>
  <c r="Q33" i="5"/>
  <c r="M33" i="5"/>
  <c r="B33" i="5"/>
  <c r="Q32" i="5"/>
  <c r="M32" i="5"/>
  <c r="B32" i="5"/>
  <c r="M31" i="5"/>
  <c r="B31" i="5"/>
  <c r="Q30" i="5"/>
  <c r="M30" i="5"/>
  <c r="B30" i="5"/>
  <c r="Q29" i="5"/>
  <c r="M29" i="5"/>
  <c r="B29" i="5"/>
  <c r="Q28" i="5"/>
  <c r="M28" i="5"/>
  <c r="B28" i="5"/>
  <c r="Q27" i="5"/>
  <c r="M27" i="5"/>
  <c r="B27" i="5"/>
  <c r="Q26" i="5"/>
  <c r="M26" i="5"/>
  <c r="B26" i="5"/>
  <c r="Q25" i="5"/>
  <c r="M25" i="5"/>
  <c r="B25" i="5"/>
  <c r="Q24" i="5"/>
  <c r="M24" i="5"/>
  <c r="B24" i="5"/>
  <c r="Q23" i="5"/>
  <c r="M23" i="5"/>
  <c r="B23" i="5"/>
  <c r="Q22" i="5"/>
  <c r="M22" i="5"/>
  <c r="B22" i="5"/>
  <c r="Q21" i="5"/>
  <c r="M21" i="5"/>
  <c r="B21" i="5"/>
  <c r="Q20" i="5"/>
  <c r="M20" i="5"/>
  <c r="B20" i="5"/>
  <c r="Q19" i="5"/>
  <c r="M19" i="5"/>
  <c r="B19" i="5"/>
  <c r="Q18" i="5"/>
  <c r="M18" i="5"/>
  <c r="B18" i="5"/>
  <c r="Q17" i="5"/>
  <c r="M17" i="5"/>
  <c r="B17" i="5"/>
  <c r="Q16" i="5"/>
  <c r="M16" i="5"/>
  <c r="B16" i="5"/>
  <c r="Q15" i="5"/>
  <c r="M15" i="5"/>
  <c r="B15" i="5"/>
  <c r="Q14" i="5"/>
  <c r="M14" i="5"/>
  <c r="B14" i="5"/>
  <c r="Q13" i="5"/>
  <c r="M13" i="5"/>
  <c r="B13" i="5"/>
  <c r="Q12" i="5"/>
  <c r="M12" i="5"/>
  <c r="B12" i="5"/>
  <c r="Q11" i="5"/>
  <c r="M11" i="5"/>
  <c r="B11" i="5"/>
  <c r="Q10" i="5"/>
  <c r="Q59" i="5" s="1"/>
  <c r="Q60" i="5" s="1"/>
  <c r="M10" i="5"/>
  <c r="B10" i="5"/>
  <c r="Q58" i="4"/>
  <c r="B58" i="4"/>
  <c r="Q57" i="4"/>
  <c r="B57" i="4"/>
  <c r="Q56" i="4"/>
  <c r="B56" i="4"/>
  <c r="Q55" i="4"/>
  <c r="B55" i="4"/>
  <c r="Q54" i="4"/>
  <c r="B54" i="4"/>
  <c r="Q53" i="4"/>
  <c r="B53" i="4"/>
  <c r="Q52" i="4"/>
  <c r="B52" i="4"/>
  <c r="Q51" i="4"/>
  <c r="B51" i="4"/>
  <c r="Q50" i="4"/>
  <c r="B50" i="4"/>
  <c r="Q49" i="4"/>
  <c r="B49" i="4"/>
  <c r="Q48" i="4"/>
  <c r="B48" i="4"/>
  <c r="Q47" i="4"/>
  <c r="B47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58" i="3"/>
  <c r="B58" i="3"/>
  <c r="Q57" i="3"/>
  <c r="B57" i="3"/>
  <c r="Q56" i="3"/>
  <c r="B56" i="3"/>
  <c r="Q55" i="3"/>
  <c r="B55" i="3"/>
  <c r="Q54" i="3"/>
  <c r="B54" i="3"/>
  <c r="Q53" i="3"/>
  <c r="B53" i="3"/>
  <c r="Q52" i="3"/>
  <c r="B52" i="3"/>
  <c r="Q51" i="3"/>
  <c r="B51" i="3"/>
  <c r="Q50" i="3"/>
  <c r="B50" i="3"/>
  <c r="Q49" i="3"/>
  <c r="B49" i="3"/>
  <c r="Q48" i="3"/>
  <c r="B48" i="3"/>
  <c r="Q47" i="3"/>
  <c r="B47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M48" i="1"/>
  <c r="Q59" i="4" l="1"/>
  <c r="Q60" i="4" s="1"/>
  <c r="Q59" i="3"/>
  <c r="Q60" i="3" s="1"/>
  <c r="Q48" i="1"/>
  <c r="B48" i="1"/>
  <c r="B48" i="2"/>
  <c r="Q48" i="2"/>
  <c r="M48" i="2"/>
  <c r="Q42" i="1" l="1"/>
  <c r="Q32" i="1"/>
  <c r="B58" i="1" l="1"/>
  <c r="B57" i="1"/>
  <c r="B56" i="1"/>
  <c r="B55" i="1"/>
  <c r="B54" i="1"/>
  <c r="B53" i="1"/>
  <c r="B52" i="1"/>
  <c r="B51" i="1"/>
  <c r="B50" i="1"/>
  <c r="B49" i="1"/>
  <c r="B47" i="1"/>
  <c r="B46" i="1"/>
  <c r="B40" i="1"/>
  <c r="B45" i="1"/>
  <c r="B44" i="1"/>
  <c r="B43" i="1"/>
  <c r="B41" i="1"/>
  <c r="B42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M57" i="2"/>
  <c r="M56" i="2"/>
  <c r="M55" i="2"/>
  <c r="M54" i="2"/>
  <c r="M52" i="2"/>
  <c r="M51" i="2"/>
  <c r="M50" i="2"/>
  <c r="M40" i="2"/>
  <c r="M45" i="2"/>
  <c r="M44" i="2"/>
  <c r="M43" i="2"/>
  <c r="M41" i="2"/>
  <c r="M39" i="2"/>
  <c r="M38" i="2"/>
  <c r="M37" i="2"/>
  <c r="M36" i="2"/>
  <c r="M35" i="2"/>
  <c r="M30" i="2"/>
  <c r="M27" i="2"/>
  <c r="M26" i="2"/>
  <c r="M25" i="2"/>
  <c r="M21" i="2"/>
  <c r="M19" i="2"/>
  <c r="M16" i="2"/>
  <c r="M13" i="2"/>
  <c r="M11" i="2"/>
  <c r="M12" i="2"/>
  <c r="M14" i="2"/>
  <c r="M15" i="2"/>
  <c r="M17" i="2"/>
  <c r="M18" i="2"/>
  <c r="M20" i="2"/>
  <c r="M22" i="2"/>
  <c r="M23" i="2"/>
  <c r="M24" i="2"/>
  <c r="M28" i="2"/>
  <c r="M29" i="2"/>
  <c r="M31" i="2"/>
  <c r="M32" i="2"/>
  <c r="M33" i="2"/>
  <c r="M34" i="2"/>
  <c r="M42" i="2"/>
  <c r="M46" i="2"/>
  <c r="M47" i="2"/>
  <c r="M49" i="2"/>
  <c r="M53" i="2"/>
  <c r="M58" i="2"/>
  <c r="Q41" i="2"/>
  <c r="B41" i="2"/>
  <c r="Q57" i="2"/>
  <c r="B57" i="2"/>
  <c r="Q56" i="2"/>
  <c r="B56" i="2"/>
  <c r="Q55" i="2"/>
  <c r="B55" i="2"/>
  <c r="Q54" i="2"/>
  <c r="B54" i="2"/>
  <c r="Q52" i="2"/>
  <c r="B52" i="2"/>
  <c r="Q51" i="2"/>
  <c r="B51" i="2"/>
  <c r="Q50" i="2"/>
  <c r="B50" i="2"/>
  <c r="Q40" i="2"/>
  <c r="B40" i="2"/>
  <c r="Q45" i="2"/>
  <c r="B45" i="2"/>
  <c r="Q44" i="2"/>
  <c r="B44" i="2"/>
  <c r="Q43" i="2"/>
  <c r="B43" i="2"/>
  <c r="Q39" i="2"/>
  <c r="B39" i="2"/>
  <c r="Q37" i="2"/>
  <c r="B37" i="2"/>
  <c r="Q36" i="2"/>
  <c r="B36" i="2"/>
  <c r="Q35" i="2"/>
  <c r="B35" i="2"/>
  <c r="Q30" i="2"/>
  <c r="B30" i="2"/>
  <c r="Q27" i="2"/>
  <c r="B27" i="2"/>
  <c r="Q26" i="2"/>
  <c r="B26" i="2"/>
  <c r="Q25" i="2"/>
  <c r="B25" i="2"/>
  <c r="Q21" i="2"/>
  <c r="B21" i="2"/>
  <c r="Q19" i="2"/>
  <c r="B19" i="2"/>
  <c r="Q17" i="2"/>
  <c r="B17" i="2"/>
  <c r="Q16" i="2"/>
  <c r="B16" i="2"/>
  <c r="Q13" i="2"/>
  <c r="B13" i="2"/>
  <c r="Q49" i="2" l="1"/>
  <c r="Q58" i="2"/>
  <c r="Q53" i="2"/>
  <c r="Q47" i="2"/>
  <c r="Q34" i="2"/>
  <c r="Q42" i="2"/>
  <c r="Q38" i="2"/>
  <c r="Q33" i="2"/>
  <c r="Q32" i="2"/>
  <c r="Q29" i="2"/>
  <c r="Q28" i="2"/>
  <c r="Q24" i="2"/>
  <c r="Q22" i="2"/>
  <c r="Q23" i="2"/>
  <c r="Q20" i="2"/>
  <c r="Q18" i="2"/>
  <c r="Q15" i="2"/>
  <c r="Q12" i="2"/>
  <c r="Q14" i="2"/>
  <c r="Q11" i="2"/>
  <c r="Q10" i="2"/>
  <c r="B58" i="2"/>
  <c r="B53" i="2"/>
  <c r="B49" i="2"/>
  <c r="B47" i="2"/>
  <c r="B46" i="2"/>
  <c r="B34" i="2"/>
  <c r="B42" i="2"/>
  <c r="B38" i="2"/>
  <c r="B33" i="2"/>
  <c r="B32" i="2"/>
  <c r="B31" i="2"/>
  <c r="B29" i="2"/>
  <c r="B28" i="2"/>
  <c r="B24" i="2"/>
  <c r="B22" i="2"/>
  <c r="B23" i="2"/>
  <c r="B20" i="2"/>
  <c r="B18" i="2"/>
  <c r="B15" i="2"/>
  <c r="B12" i="2"/>
  <c r="B14" i="2"/>
  <c r="B11" i="2"/>
  <c r="B10" i="2"/>
  <c r="Q59" i="2" l="1"/>
  <c r="Q60" i="2" s="1"/>
  <c r="Q45" i="1" l="1"/>
  <c r="M45" i="1"/>
  <c r="Q41" i="1" l="1"/>
  <c r="Q33" i="1"/>
  <c r="M12" i="1"/>
  <c r="M11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2" i="1"/>
  <c r="M41" i="1"/>
  <c r="M43" i="1"/>
  <c r="M44" i="1"/>
  <c r="M46" i="1"/>
  <c r="M40" i="1"/>
  <c r="M47" i="1"/>
  <c r="M49" i="1"/>
  <c r="M50" i="1"/>
  <c r="M51" i="1"/>
  <c r="M52" i="1"/>
  <c r="M53" i="1"/>
  <c r="M54" i="1"/>
  <c r="M55" i="1"/>
  <c r="M56" i="1"/>
  <c r="M57" i="1"/>
  <c r="M58" i="1"/>
  <c r="M10" i="2" l="1"/>
  <c r="Q58" i="1" l="1"/>
  <c r="Q57" i="1"/>
  <c r="Q56" i="1"/>
  <c r="Q55" i="1"/>
  <c r="Q54" i="1"/>
  <c r="Q53" i="1"/>
  <c r="Q52" i="1"/>
  <c r="Q51" i="1"/>
  <c r="Q50" i="1"/>
  <c r="Q49" i="1"/>
  <c r="Q47" i="1"/>
  <c r="Q40" i="1"/>
  <c r="Q44" i="1"/>
  <c r="Q43" i="1"/>
  <c r="Q39" i="1"/>
  <c r="Q38" i="1"/>
  <c r="Q37" i="1"/>
  <c r="Q36" i="1"/>
  <c r="Q35" i="1"/>
  <c r="Q34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1" i="1"/>
  <c r="Q12" i="1"/>
  <c r="Q10" i="1" l="1"/>
  <c r="Q59" i="1" s="1"/>
  <c r="Q60" i="1" s="1"/>
  <c r="M10" i="1"/>
</calcChain>
</file>

<file path=xl/sharedStrings.xml><?xml version="1.0" encoding="utf-8"?>
<sst xmlns="http://schemas.openxmlformats.org/spreadsheetml/2006/main" count="2609" uniqueCount="328">
  <si>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</si>
  <si>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</si>
  <si>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</si>
  <si>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</si>
  <si>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</si>
  <si>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</si>
  <si>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</si>
  <si>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</si>
  <si>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</si>
  <si>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</si>
  <si>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</si>
  <si>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</si>
  <si>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</si>
  <si>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</si>
  <si>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JST Connector</t>
  </si>
  <si>
    <t>Connector</t>
  </si>
  <si>
    <t>Header</t>
  </si>
  <si>
    <t>Inductor</t>
  </si>
  <si>
    <t>LED</t>
  </si>
  <si>
    <t>RGB LED</t>
  </si>
  <si>
    <t>TEST POINT</t>
  </si>
  <si>
    <t>Mosfet</t>
  </si>
  <si>
    <t>Resistor</t>
  </si>
  <si>
    <t>Solder Bridge</t>
  </si>
  <si>
    <t>Switch</t>
  </si>
  <si>
    <t>IC</t>
  </si>
  <si>
    <t>Module</t>
  </si>
  <si>
    <t>Designator</t>
  </si>
  <si>
    <t>D2</t>
  </si>
  <si>
    <t>F1</t>
  </si>
  <si>
    <t>J1</t>
  </si>
  <si>
    <t>J2</t>
  </si>
  <si>
    <t>J3</t>
  </si>
  <si>
    <t>L1</t>
  </si>
  <si>
    <t>LED1</t>
  </si>
  <si>
    <t>LED2</t>
  </si>
  <si>
    <t>U1</t>
  </si>
  <si>
    <t>U2</t>
  </si>
  <si>
    <t>U3</t>
  </si>
  <si>
    <t>U4</t>
  </si>
  <si>
    <t>U7</t>
  </si>
  <si>
    <t>U8</t>
  </si>
  <si>
    <t>Description</t>
  </si>
  <si>
    <t>CAP CER 10000PF 50V C0G/NPO 0603</t>
  </si>
  <si>
    <t>CAP CER 22UF 10V X5R 0603</t>
  </si>
  <si>
    <t>CAP CER 1UF 25V X5R 0603</t>
  </si>
  <si>
    <t>CAP CER 10UF 25V X5R 0805</t>
  </si>
  <si>
    <t>CAP CER 0.1UF 25V X5R 0402</t>
  </si>
  <si>
    <t>DIODE ZENER 3.3V 200MW SOD323F</t>
  </si>
  <si>
    <t>FERRITE BEAD 120 OHM 0603 1LN</t>
  </si>
  <si>
    <t>250mA 1 16 Female Type-C SMD USB Connectors ROHS</t>
  </si>
  <si>
    <t>Conn Shrouded Header (4 Sides) HDR 2 POS 2.5mm Solder ST Thru-Hole Box</t>
  </si>
  <si>
    <t>1x6P SH 1 1mm 6 SMD,P=1mm Wire To Board / Wire To Wire Connector ROHS</t>
  </si>
  <si>
    <t>CONN HEADER VERT 2POS 2.54MM</t>
  </si>
  <si>
    <t>Emerald 0603 Light Emitting Diodes (LED) ROHS</t>
  </si>
  <si>
    <t>0603 Light Emitting Diodes (LED) ROHS</t>
  </si>
  <si>
    <t>Test Point ON</t>
  </si>
  <si>
    <t>30V 4.1A 60mΩ@10V,4.1A 350mW 3V@250uA P Channel SOT-23 MOSFETs ROHS</t>
  </si>
  <si>
    <t>40V 100mW 100@10mA,1V 200mA 300MHz 300mV@50mA,5mA NPN -55℃~+150℃@(Tj) SOT-723 Bipolar Transistors - BJT ROHS</t>
  </si>
  <si>
    <t>RES SMD 1K OHM 1% 1/10W 0603</t>
  </si>
  <si>
    <t>RES SMD 10K Ohm 1% 1/10W 0603</t>
  </si>
  <si>
    <t>RES SMD 4.7K OHM 5% 1/10W 0603</t>
  </si>
  <si>
    <t>RES 5.1K OHM 1% 1/10W 0603</t>
  </si>
  <si>
    <t>Solder Bridge ON</t>
  </si>
  <si>
    <t>No NO 50mA 4.5mm 100000 260gf 12V -30℃~+85℃ 4.5mm 4.3mm Black Round Button Brick nogging SPST SMD Tactile Switches ROHS</t>
  </si>
  <si>
    <t>No NO 50mA 4.5mm 100000 160gf 12V -30℃~+85℃ 4.5mm 8mm Black Round Button Brick nogging SPST SMD Tactile Switches ROHS</t>
  </si>
  <si>
    <t>SMD,18x25.5mm WiFi Modules ROHS</t>
  </si>
  <si>
    <t>Footprint</t>
  </si>
  <si>
    <t>Cap-0603</t>
  </si>
  <si>
    <t>Cap-0805</t>
  </si>
  <si>
    <t>Cap-0402</t>
  </si>
  <si>
    <t>SOD323F</t>
  </si>
  <si>
    <t>IND-0603 (1608 Metric)</t>
  </si>
  <si>
    <t>HDR1X2_</t>
  </si>
  <si>
    <t>LED-0603</t>
  </si>
  <si>
    <t>SOT-23</t>
  </si>
  <si>
    <t>SOT-723</t>
  </si>
  <si>
    <t>Res-0603</t>
  </si>
  <si>
    <t>Solder Bridge 0402</t>
  </si>
  <si>
    <t>TS-1109S-C-B</t>
  </si>
  <si>
    <t>SOT-23-5</t>
  </si>
  <si>
    <t>38-SMD Module</t>
  </si>
  <si>
    <t>Manufacturer Part Number</t>
  </si>
  <si>
    <t>CC0603JRNPO9BN103</t>
  </si>
  <si>
    <t>CC0603MRX5R6BB226</t>
  </si>
  <si>
    <t>CC0603KRX5R8BB105</t>
  </si>
  <si>
    <t>CC0805KKX5R8BB106</t>
  </si>
  <si>
    <t>CC0402KRX5R8BB104</t>
  </si>
  <si>
    <t>MM3Z3V3B</t>
  </si>
  <si>
    <t>BLM18SG121TN1D</t>
  </si>
  <si>
    <t>TYPE-C-31-M-12</t>
  </si>
  <si>
    <t>B2B-XH-A(LF)(SN)</t>
  </si>
  <si>
    <t>C145963</t>
  </si>
  <si>
    <t>NCD0603G2</t>
  </si>
  <si>
    <t>NCD0603R3</t>
  </si>
  <si>
    <t>AO3407</t>
  </si>
  <si>
    <t>MMBT3904M</t>
  </si>
  <si>
    <t>RC0603FR-071KL</t>
  </si>
  <si>
    <t>RC0603FR-0710KL</t>
  </si>
  <si>
    <t>RC0603JR-074K7L</t>
  </si>
  <si>
    <t>RC0603FR-075K1L</t>
  </si>
  <si>
    <t>TS-1109S-B-J</t>
  </si>
  <si>
    <t>ESP32-WROOM-32E-N8</t>
  </si>
  <si>
    <t>Manufacturer</t>
  </si>
  <si>
    <t>Yageo</t>
  </si>
  <si>
    <t>Murata</t>
  </si>
  <si>
    <t>ON Semiconductor / Fairchild</t>
  </si>
  <si>
    <t>Nexperia</t>
  </si>
  <si>
    <t>BHFUSE</t>
  </si>
  <si>
    <t>Korean Hroparts Elec</t>
  </si>
  <si>
    <t>JST</t>
  </si>
  <si>
    <t>BOOMELE</t>
  </si>
  <si>
    <t>Wurth Electronics</t>
  </si>
  <si>
    <t>Foshan NationStar Optoelectronics</t>
  </si>
  <si>
    <t>Guangdong Hottech</t>
  </si>
  <si>
    <t>TECH PUBLIC</t>
  </si>
  <si>
    <t>XKB Connectivity</t>
  </si>
  <si>
    <t>Rohm</t>
  </si>
  <si>
    <t>Texas Instruments</t>
  </si>
  <si>
    <t>Espressif Systems</t>
  </si>
  <si>
    <t>LCSC Part Number</t>
  </si>
  <si>
    <t>C389113</t>
  </si>
  <si>
    <t>C109447</t>
  </si>
  <si>
    <t>C14664</t>
  </si>
  <si>
    <t>C89831</t>
  </si>
  <si>
    <t>C106256</t>
  </si>
  <si>
    <t>C2978865</t>
  </si>
  <si>
    <t>C113030</t>
  </si>
  <si>
    <t>C165948</t>
  </si>
  <si>
    <t>C158012</t>
  </si>
  <si>
    <t>C87326</t>
  </si>
  <si>
    <t>C3151730</t>
  </si>
  <si>
    <t>C181093</t>
  </si>
  <si>
    <t>C2923360</t>
  </si>
  <si>
    <t>C22548</t>
  </si>
  <si>
    <t>C98220</t>
  </si>
  <si>
    <t>C105428</t>
  </si>
  <si>
    <t>C105580</t>
  </si>
  <si>
    <t>C381037</t>
  </si>
  <si>
    <t>C480323</t>
  </si>
  <si>
    <t>C701342</t>
  </si>
  <si>
    <t>10nF</t>
  </si>
  <si>
    <t>22uF</t>
  </si>
  <si>
    <t>1uF</t>
  </si>
  <si>
    <t>100nF</t>
  </si>
  <si>
    <t>10uF</t>
  </si>
  <si>
    <t>1K</t>
  </si>
  <si>
    <t>10K</t>
  </si>
  <si>
    <t>0R</t>
  </si>
  <si>
    <t>47K</t>
  </si>
  <si>
    <t>4.7K</t>
  </si>
  <si>
    <t>5.1K</t>
  </si>
  <si>
    <t>Quantity</t>
  </si>
  <si>
    <t>Alternate Part Number</t>
  </si>
  <si>
    <t>Quantity (5 Boards)</t>
  </si>
  <si>
    <t>MOQ (5 Boards)</t>
  </si>
  <si>
    <t>Links</t>
  </si>
  <si>
    <t>Total Cost (5 Boards)</t>
  </si>
  <si>
    <t>Remarks</t>
  </si>
  <si>
    <t>Reviewer Remarks</t>
  </si>
  <si>
    <t>-</t>
  </si>
  <si>
    <t>Value</t>
  </si>
  <si>
    <t>Custom</t>
  </si>
  <si>
    <t>Bill of Materials for Project [IoT-Speaker]</t>
  </si>
  <si>
    <t>IoT-Speaker</t>
  </si>
  <si>
    <t>LCSC</t>
  </si>
  <si>
    <t>DO NOT PLACE</t>
  </si>
  <si>
    <t>Quantity (2 Boards)</t>
  </si>
  <si>
    <t>MOQ (2 Boards)</t>
  </si>
  <si>
    <t>Unit Cost (2 Boards)</t>
  </si>
  <si>
    <t>C10, C11</t>
  </si>
  <si>
    <t>SPX3819 Series 3.3 V 500 mA Fixed Output SMT LDO Regulator - SOT-23-5</t>
  </si>
  <si>
    <t>SPX3819M5-L-3-3/TR</t>
  </si>
  <si>
    <t>MaxLinear</t>
  </si>
  <si>
    <t>C9055</t>
  </si>
  <si>
    <t>Battery</t>
  </si>
  <si>
    <t>Peripheral</t>
  </si>
  <si>
    <t>Aliexpress</t>
  </si>
  <si>
    <t>104050 3.7V 2600mAh Li-polymer Battery For GPS MP3 Bluetooth Headset Power Bank Rechargeable Lithium Batteria</t>
  </si>
  <si>
    <t>FB1, FB2, FB7</t>
  </si>
  <si>
    <t>U10</t>
  </si>
  <si>
    <t>C14, C74, C75, C81, C102</t>
  </si>
  <si>
    <t>TDK</t>
  </si>
  <si>
    <t>CAP CER 220PF 50V C0G/NPO 0402</t>
  </si>
  <si>
    <t>CC0402JRNPO9BN221</t>
  </si>
  <si>
    <t>C107001</t>
  </si>
  <si>
    <t>220pF</t>
  </si>
  <si>
    <t>C84</t>
  </si>
  <si>
    <t>CAP CER 1000PF 25V C0G/NPO 0603</t>
  </si>
  <si>
    <t>CAP-0603</t>
  </si>
  <si>
    <t>CC0603JRNPO8BN102</t>
  </si>
  <si>
    <t>C309470</t>
  </si>
  <si>
    <t>1nF</t>
  </si>
  <si>
    <t>D1</t>
  </si>
  <si>
    <t>TVS DIODE 5VWM 6.3VC DSN0603-2</t>
  </si>
  <si>
    <t>DSN0603-2</t>
  </si>
  <si>
    <t>PESD5V0H1BSFYL</t>
  </si>
  <si>
    <t>C477989</t>
  </si>
  <si>
    <t>Total Cost (2 Boards)</t>
  </si>
  <si>
    <t>6V 2A 50A 1W -40℃~+85℃ 4A 4mΩ 5s 45mΩ 0805 Resettable Fuses ROHS</t>
  </si>
  <si>
    <t>Fuse-0805</t>
  </si>
  <si>
    <t>BSMD0805L-200</t>
  </si>
  <si>
    <t>C2757931</t>
  </si>
  <si>
    <t>FB7</t>
  </si>
  <si>
    <t>FERRITE BEAD 120 OHM 1206 1LN</t>
  </si>
  <si>
    <t>IND-1206</t>
  </si>
  <si>
    <t>BLM31PG121SN1L</t>
  </si>
  <si>
    <t>C85841</t>
  </si>
  <si>
    <t>100MHz</t>
  </si>
  <si>
    <t>J9</t>
  </si>
  <si>
    <t>5.15A 1uH ±30% SMD Power Inductors ROHS</t>
  </si>
  <si>
    <t>MPIT6045-1R0N-LF</t>
  </si>
  <si>
    <t>microgate</t>
  </si>
  <si>
    <t>C486570</t>
  </si>
  <si>
    <t>1uH</t>
  </si>
  <si>
    <t>L2, L3</t>
  </si>
  <si>
    <t>FIXED IND 33UH 500MA 275MOHM SMD</t>
  </si>
  <si>
    <t>VLCF5024T-330MR50-2</t>
  </si>
  <si>
    <t>C2046704</t>
  </si>
  <si>
    <t>33uH</t>
  </si>
  <si>
    <t>LED3, LED4, LED5</t>
  </si>
  <si>
    <t>SMD5050 Light Emitting Diodes (LED) ROHS</t>
  </si>
  <si>
    <t>WS2812B-XF02/W</t>
  </si>
  <si>
    <t>Worldsemi</t>
  </si>
  <si>
    <t>C4154882</t>
  </si>
  <si>
    <t>P2, P3, P4, P5</t>
  </si>
  <si>
    <t>Q1, Q4</t>
  </si>
  <si>
    <t>Q2, Q3, Q5</t>
  </si>
  <si>
    <t>R1, R2</t>
  </si>
  <si>
    <t>R3</t>
  </si>
  <si>
    <t>RES SMD 220 OHM 1% 1/10W 0603</t>
  </si>
  <si>
    <t>RC0603FR-07220RL</t>
  </si>
  <si>
    <t>C107696</t>
  </si>
  <si>
    <t>220R</t>
  </si>
  <si>
    <t>R4</t>
  </si>
  <si>
    <t>RES  SMD 330R 100 mW 0603</t>
  </si>
  <si>
    <t>RC0603JR-07330RL</t>
  </si>
  <si>
    <t>C105879</t>
  </si>
  <si>
    <t>330R</t>
  </si>
  <si>
    <t>R6, R10, R15, R18, R19, R20, R21, R22</t>
  </si>
  <si>
    <t>R5</t>
  </si>
  <si>
    <t>Thick Film Resistors 75V 1.2kΩ 0603 Chip Resistor - Surface Mount ROHS</t>
  </si>
  <si>
    <t>0603WAF1201T5E</t>
  </si>
  <si>
    <t>UNI-ROYAL</t>
  </si>
  <si>
    <t>C22765</t>
  </si>
  <si>
    <t>1.2K</t>
  </si>
  <si>
    <t>R7</t>
  </si>
  <si>
    <t>±1% 732kΩ 0402 Chip Resistor - Surface Mount ROHS</t>
  </si>
  <si>
    <t>Res-0402</t>
  </si>
  <si>
    <t>FRC0402F7323TS</t>
  </si>
  <si>
    <t>FOJAN</t>
  </si>
  <si>
    <t>C5159692</t>
  </si>
  <si>
    <t>732K</t>
  </si>
  <si>
    <t>100K</t>
  </si>
  <si>
    <t>R11, R56</t>
  </si>
  <si>
    <t>R13, R14</t>
  </si>
  <si>
    <t>RES SMD 0R, 1%, 0.1W, 0603</t>
  </si>
  <si>
    <t>RC0603FR-070RL</t>
  </si>
  <si>
    <t>C100044</t>
  </si>
  <si>
    <t>R65</t>
  </si>
  <si>
    <t>RES SMD 1M OHM 1% 1/10W 0603</t>
  </si>
  <si>
    <t>RC0603FR-071ML</t>
  </si>
  <si>
    <t>C105578</t>
  </si>
  <si>
    <t>1M</t>
  </si>
  <si>
    <t>RES SMD 100K OHM 0.1% 1/10W 0603</t>
  </si>
  <si>
    <t>RT0603BRD07100KL</t>
  </si>
  <si>
    <t>C122538</t>
  </si>
  <si>
    <t>SW1</t>
  </si>
  <si>
    <t>SB1, SB2, SB3, SB4, SB5, SB6, SB7, SB8, SB12, SB13</t>
  </si>
  <si>
    <t>ESOP-8 Battery Management ICs ROHS</t>
  </si>
  <si>
    <t>ESOP-8</t>
  </si>
  <si>
    <t>TP4056-42-ESOP8</t>
  </si>
  <si>
    <t>TOPPOWER</t>
  </si>
  <si>
    <t>C16581</t>
  </si>
  <si>
    <t>OR Controller N+1 ORing Controller N-Channel 2:1 SOT-583</t>
  </si>
  <si>
    <t>SOT-583</t>
  </si>
  <si>
    <t>LM66200DRLR</t>
  </si>
  <si>
    <t>C3235556</t>
  </si>
  <si>
    <t>8-A boost converter with 0.5-V ultra-low input voltage 7-VQFN-HR -40 to 125</t>
  </si>
  <si>
    <t>7-VQFN-HR (2x2)</t>
  </si>
  <si>
    <t>TPS61022RWUR</t>
  </si>
  <si>
    <t>C915088</t>
  </si>
  <si>
    <t>IC CNTRLR ON/OFF W/DEB TSOT23-6</t>
  </si>
  <si>
    <t>TSOT-23-6</t>
  </si>
  <si>
    <t>MAX16054AZT+T</t>
  </si>
  <si>
    <t>Maxim</t>
  </si>
  <si>
    <t>C79401</t>
  </si>
  <si>
    <t>Power Supply Support Circuit, Fixed, 1 Channel, +3.1V, CMOS, PDSO5</t>
  </si>
  <si>
    <t>SSOP-5-1.6mm</t>
  </si>
  <si>
    <t>BU4231G-TR</t>
  </si>
  <si>
    <t>C253184</t>
  </si>
  <si>
    <t>U16</t>
  </si>
  <si>
    <t>Audio Amplifier, 1 Func, PQCC16</t>
  </si>
  <si>
    <t>TQFN-16-EP(3x3)</t>
  </si>
  <si>
    <t>MAX98357AETE+T</t>
  </si>
  <si>
    <t>C910544</t>
  </si>
  <si>
    <t>RES 47K OHM 5% 1/10W 0603</t>
  </si>
  <si>
    <t>RC0603JR-0747KL</t>
  </si>
  <si>
    <t>C127447</t>
  </si>
  <si>
    <t>R9, R12, R54</t>
  </si>
  <si>
    <t>R8, R66, R67</t>
  </si>
  <si>
    <t>R16, R17, R55</t>
  </si>
  <si>
    <t>C2, C3, C7, C8, C9, C15, C17, C18, C19, C20, C21, C22, C24, C78, C83</t>
  </si>
  <si>
    <t>C4, C12, C76, C82</t>
  </si>
  <si>
    <t>C23, C25, C26, C77</t>
  </si>
  <si>
    <t>C1, C5, C6, C13, C16, C103</t>
  </si>
  <si>
    <t>B-2100S02P-A110</t>
  </si>
  <si>
    <t>C124375</t>
  </si>
  <si>
    <t>SW4, SW5, SW6, SW8</t>
  </si>
  <si>
    <t>Tactile Switch</t>
  </si>
  <si>
    <t>NO Lying SPST 250gf@±30gf Plugin Tactile Switches ROHS</t>
  </si>
  <si>
    <t>TS-1091B-A8B3-D2</t>
  </si>
  <si>
    <t>Yuandi</t>
  </si>
  <si>
    <t>C557914</t>
  </si>
  <si>
    <t>SW7</t>
  </si>
  <si>
    <t>Unit Cost (5 Boards)</t>
  </si>
  <si>
    <t>Quantity (50 Boards)</t>
  </si>
  <si>
    <t>MOQ (50 Boards)</t>
  </si>
  <si>
    <t>Unit Cost (50 Boards)</t>
  </si>
  <si>
    <t>Total Cost (50 Boards)</t>
  </si>
  <si>
    <t>Quantity (500 Boards)</t>
  </si>
  <si>
    <t>MOQ (500 Boards)</t>
  </si>
  <si>
    <t>Unit Cost (500 Boards)</t>
  </si>
  <si>
    <t>Total Cost (500 Boards)</t>
  </si>
  <si>
    <t>Quantity (3000 Boards)</t>
  </si>
  <si>
    <t>MOQ (3000 Boards)</t>
  </si>
  <si>
    <t>Unit Cost (3000 Boards)</t>
  </si>
  <si>
    <t>Total Cost (3000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</si>
</sst>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2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2" fillId="2" borderId="21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6" fillId="0" borderId="0" xfId="0" applyFont="1"/>
    <xf numFmtId="0" fontId="0" fillId="5" borderId="0" xfId="0" applyFill="1"/>
    <xf numFmtId="0" fontId="26" fillId="5" borderId="0" xfId="0" applyFont="1" applyFill="1" applyAlignment="1">
      <alignment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166" fontId="19" fillId="2" borderId="23" xfId="0" applyNumberFormat="1" applyFont="1" applyFill="1" applyBorder="1" applyAlignment="1">
      <alignment horizontal="center" vertical="center" wrapText="1"/>
    </xf>
    <xf numFmtId="166" fontId="19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740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drawing" Target="../drawings/drawing1.xm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Tactile-Switches_Yuandi-TS-1091B-A8B3-D2_C557914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drawing" Target="../drawings/drawing2.xm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drawing" Target="../drawings/drawing3.xm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drawing" Target="../drawings/drawing4.xm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drawing" Target="../drawings/drawing5.xm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0"/>
  <sheetViews>
    <sheetView topLeftCell="F45" workbookViewId="0">
      <selection activeCell="A49" sqref="A49"/>
    </sheetView>
  </sheetViews>
  <sheetFormatPr defaultRowHeight="15" x14ac:dyDescent="0.25"/>
  <cols>
    <col min="2" max="2" width="3" bestFit="1" customWidth="1"/>
    <col min="3" max="3" width="17" customWidth="1"/>
    <col min="4" max="4" width="27.5703125" customWidth="1"/>
    <col min="5" max="5" width="30" customWidth="1"/>
    <col min="6" max="6" width="15.7109375" customWidth="1"/>
    <col min="7" max="7" width="25.28515625" bestFit="1" customWidth="1"/>
    <col min="8" max="8" width="22.85546875" customWidth="1"/>
    <col min="9" max="9" width="21.5703125" bestFit="1" customWidth="1"/>
    <col min="10" max="10" width="17" bestFit="1" customWidth="1"/>
    <col min="11" max="11" width="7.5703125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7109375" customWidth="1"/>
    <col min="16" max="16" width="18.7109375" bestFit="1" customWidth="1"/>
    <col min="17" max="17" width="19.28515625" bestFit="1" customWidth="1"/>
    <col min="18" max="18" width="8.710937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0"/>
      <c r="L1" s="80"/>
      <c r="M1" s="80"/>
      <c r="N1" s="80"/>
      <c r="O1" s="80"/>
      <c r="P1" s="80"/>
      <c r="Q1" s="80"/>
      <c r="R1" s="80"/>
      <c r="S1" s="81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2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3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3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167</v>
      </c>
      <c r="N9" s="30" t="s">
        <v>168</v>
      </c>
      <c r="O9" s="30" t="s">
        <v>156</v>
      </c>
      <c r="P9" s="30" t="s">
        <v>169</v>
      </c>
      <c r="Q9" s="30" t="s">
        <v>198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14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 t="shared" ref="M10:M53" si="1">L10*2</f>
        <v>12</v>
      </c>
      <c r="N10" s="49">
        <v>20</v>
      </c>
      <c r="O10" s="64" t="s">
        <v>165</v>
      </c>
      <c r="P10" s="50">
        <v>3.9300000000000002E-2</v>
      </c>
      <c r="Q10" s="38">
        <f>P10*N10</f>
        <v>0.78600000000000003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si="1"/>
        <v>30</v>
      </c>
      <c r="N11" s="37">
        <v>100</v>
      </c>
      <c r="O11" s="64" t="s">
        <v>165</v>
      </c>
      <c r="P11" s="50">
        <v>1.9E-3</v>
      </c>
      <c r="Q11" s="50">
        <f t="shared" ref="Q11" si="2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>L12*2</f>
        <v>8</v>
      </c>
      <c r="N12" s="37">
        <v>50</v>
      </c>
      <c r="O12" s="63" t="s">
        <v>165</v>
      </c>
      <c r="P12" s="38">
        <v>1.5599999999999999E-2</v>
      </c>
      <c r="Q12" s="38">
        <f>P12*N12</f>
        <v>0.77999999999999992</v>
      </c>
      <c r="R12" s="37"/>
      <c r="S12" s="56"/>
    </row>
    <row r="13" spans="1:19" x14ac:dyDescent="0.25">
      <c r="A13" s="1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49">
        <f>L13*2</f>
        <v>4</v>
      </c>
      <c r="N13" s="49">
        <v>100</v>
      </c>
      <c r="O13" s="64" t="s">
        <v>165</v>
      </c>
      <c r="P13" s="50">
        <v>2.7000000000000001E-3</v>
      </c>
      <c r="Q13" s="50">
        <f t="shared" ref="Q13" si="4">P13*N13</f>
        <v>0.27</v>
      </c>
      <c r="R13" s="49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10</v>
      </c>
      <c r="N14" s="37">
        <v>100</v>
      </c>
      <c r="O14" s="64" t="s">
        <v>165</v>
      </c>
      <c r="P14" s="50">
        <v>5.1999999999999998E-3</v>
      </c>
      <c r="Q14" s="50">
        <f t="shared" ref="Q14" si="5">P14*N14</f>
        <v>0.52</v>
      </c>
      <c r="R14" s="49"/>
      <c r="S14" s="56"/>
    </row>
    <row r="15" spans="1:19" s="59" customFormat="1" x14ac:dyDescent="0.25">
      <c r="A15" s="57"/>
      <c r="B15" s="47">
        <f t="shared" ref="B15:B58" si="6">ROW(B15) - ROW($B$9)</f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4</v>
      </c>
      <c r="N15" s="37">
        <v>20</v>
      </c>
      <c r="O15" s="64" t="s">
        <v>165</v>
      </c>
      <c r="P15" s="50">
        <v>3.5700000000000003E-2</v>
      </c>
      <c r="Q15" s="50">
        <f t="shared" ref="Q15" si="7">P15*N15</f>
        <v>0.71400000000000008</v>
      </c>
      <c r="R15" s="49"/>
      <c r="S15" s="56"/>
    </row>
    <row r="16" spans="1:19" x14ac:dyDescent="0.25">
      <c r="A16" s="1"/>
      <c r="B16" s="47">
        <f t="shared" si="6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49">
        <f>L16*2</f>
        <v>2</v>
      </c>
      <c r="N16" s="49">
        <v>100</v>
      </c>
      <c r="O16" s="64" t="s">
        <v>165</v>
      </c>
      <c r="P16" s="50">
        <v>4.0000000000000001E-3</v>
      </c>
      <c r="Q16" s="50">
        <f t="shared" ref="Q16" si="8">P16*N16</f>
        <v>0.4</v>
      </c>
      <c r="R16" s="49"/>
      <c r="S16" s="56"/>
    </row>
    <row r="17" spans="1:19" x14ac:dyDescent="0.25">
      <c r="A17" s="1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>L17*5</f>
        <v>5</v>
      </c>
      <c r="N17" s="37">
        <v>10</v>
      </c>
      <c r="O17" s="63" t="s">
        <v>165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24" x14ac:dyDescent="0.25">
      <c r="A18" s="57"/>
      <c r="B18" s="47">
        <f t="shared" si="6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4</v>
      </c>
      <c r="N18" s="37">
        <v>10</v>
      </c>
      <c r="O18" s="64" t="s">
        <v>165</v>
      </c>
      <c r="P18" s="50">
        <v>4.48E-2</v>
      </c>
      <c r="Q18" s="38">
        <f>P18*N18</f>
        <v>0.44800000000000001</v>
      </c>
      <c r="R18" s="37"/>
      <c r="S18" s="56"/>
    </row>
    <row r="19" spans="1:19" ht="24" x14ac:dyDescent="0.25">
      <c r="A19" s="1"/>
      <c r="B19" s="46">
        <f t="shared" ref="B19:B25" si="9">ROW(B19) - ROW($B$9)</f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>L19*2</f>
        <v>2</v>
      </c>
      <c r="N19" s="37">
        <v>5</v>
      </c>
      <c r="O19" s="63" t="s">
        <v>165</v>
      </c>
      <c r="P19" s="38">
        <v>9.5100000000000004E-2</v>
      </c>
      <c r="Q19" s="38">
        <f>P19*N19</f>
        <v>0.47550000000000003</v>
      </c>
      <c r="R19" s="37"/>
      <c r="S19" s="56"/>
    </row>
    <row r="20" spans="1:19" s="59" customFormat="1" ht="24" x14ac:dyDescent="0.25">
      <c r="A20" s="57"/>
      <c r="B20" s="46">
        <f t="shared" si="9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6</v>
      </c>
      <c r="N20" s="37">
        <v>20</v>
      </c>
      <c r="O20" s="63" t="s">
        <v>165</v>
      </c>
      <c r="P20" s="38">
        <v>3.2199999999999999E-2</v>
      </c>
      <c r="Q20" s="50">
        <f t="shared" ref="Q20" si="10">P20*N20</f>
        <v>0.64400000000000002</v>
      </c>
      <c r="R20" s="49"/>
      <c r="S20" s="56"/>
    </row>
    <row r="21" spans="1:19" s="59" customFormat="1" x14ac:dyDescent="0.25">
      <c r="A21" s="57"/>
      <c r="B21" s="46">
        <f t="shared" si="9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>L21*2</f>
        <v>2</v>
      </c>
      <c r="N21" s="37">
        <v>5</v>
      </c>
      <c r="O21" s="63" t="s">
        <v>165</v>
      </c>
      <c r="P21" s="38">
        <v>9.5000000000000001E-2</v>
      </c>
      <c r="Q21" s="38">
        <f>P21*N21</f>
        <v>0.47499999999999998</v>
      </c>
      <c r="R21" s="37"/>
      <c r="S21" s="56"/>
    </row>
    <row r="22" spans="1:19" s="59" customFormat="1" ht="36" x14ac:dyDescent="0.25">
      <c r="A22" s="57"/>
      <c r="B22" s="47">
        <f t="shared" si="9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>L22*2</f>
        <v>2</v>
      </c>
      <c r="N22" s="49">
        <v>20</v>
      </c>
      <c r="O22" s="64" t="s">
        <v>165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4" x14ac:dyDescent="0.25">
      <c r="A23" s="57"/>
      <c r="B23" s="46">
        <f t="shared" si="9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2</v>
      </c>
      <c r="N23" s="37">
        <v>5</v>
      </c>
      <c r="O23" s="63" t="s">
        <v>165</v>
      </c>
      <c r="P23" s="38">
        <v>0.21740000000000001</v>
      </c>
      <c r="Q23" s="50">
        <f t="shared" ref="Q23" si="11">P23*N23</f>
        <v>1.087</v>
      </c>
      <c r="R23" s="49"/>
      <c r="S23" s="56"/>
    </row>
    <row r="24" spans="1:19" s="59" customFormat="1" ht="36" x14ac:dyDescent="0.25">
      <c r="A24" s="57"/>
      <c r="B24" s="46">
        <f t="shared" si="9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2</v>
      </c>
      <c r="N24" s="37">
        <v>12</v>
      </c>
      <c r="O24" s="63" t="s">
        <v>165</v>
      </c>
      <c r="P24" s="38">
        <v>7.1999999999999995E-2</v>
      </c>
      <c r="Q24" s="50">
        <f t="shared" ref="Q24" si="12">P24*N24</f>
        <v>0.86399999999999988</v>
      </c>
      <c r="R24" s="49"/>
      <c r="S24" s="56"/>
    </row>
    <row r="25" spans="1:19" x14ac:dyDescent="0.25">
      <c r="A25" s="1"/>
      <c r="B25" s="46">
        <f t="shared" si="9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>L25*2</f>
        <v>2</v>
      </c>
      <c r="N25" s="37">
        <v>20</v>
      </c>
      <c r="O25" s="63" t="s">
        <v>165</v>
      </c>
      <c r="P25" s="38">
        <v>2.46E-2</v>
      </c>
      <c r="Q25" s="38">
        <f>P25*N25</f>
        <v>0.49199999999999999</v>
      </c>
      <c r="R25" s="37"/>
      <c r="S25" s="56"/>
    </row>
    <row r="26" spans="1:19" ht="24" x14ac:dyDescent="0.25">
      <c r="A26" s="1"/>
      <c r="B26" s="47">
        <f t="shared" ref="B26" si="13">ROW(B26) - ROW($B$9)</f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49">
        <f>L26*2</f>
        <v>2</v>
      </c>
      <c r="N26" s="37">
        <v>5</v>
      </c>
      <c r="O26" s="64" t="s">
        <v>165</v>
      </c>
      <c r="P26" s="50">
        <v>4.07E-2</v>
      </c>
      <c r="Q26" s="50">
        <f t="shared" ref="Q26" si="14">P26*N26</f>
        <v>0.20350000000000001</v>
      </c>
      <c r="R26" s="49"/>
      <c r="S26" s="56"/>
    </row>
    <row r="27" spans="1:19" ht="24" x14ac:dyDescent="0.25">
      <c r="A27" s="1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>L27*2</f>
        <v>4</v>
      </c>
      <c r="N27" s="37">
        <v>5</v>
      </c>
      <c r="O27" s="63" t="s">
        <v>165</v>
      </c>
      <c r="P27" s="38">
        <v>0.40570000000000001</v>
      </c>
      <c r="Q27" s="38">
        <f>P27*N27</f>
        <v>2.0285000000000002</v>
      </c>
      <c r="R27" s="37"/>
      <c r="S27" s="56"/>
    </row>
    <row r="28" spans="1:19" s="59" customFormat="1" ht="24" x14ac:dyDescent="0.25">
      <c r="A28" s="57"/>
      <c r="B28" s="47">
        <f t="shared" si="6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2</v>
      </c>
      <c r="N28" s="49">
        <v>20</v>
      </c>
      <c r="O28" s="64" t="s">
        <v>165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24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2</v>
      </c>
      <c r="N29" s="37">
        <v>20</v>
      </c>
      <c r="O29" s="63" t="s">
        <v>165</v>
      </c>
      <c r="P29" s="38">
        <v>2.3300000000000001E-2</v>
      </c>
      <c r="Q29" s="50">
        <f t="shared" ref="Q29:Q30" si="15">P29*N29</f>
        <v>0.46600000000000003</v>
      </c>
      <c r="R29" s="49"/>
      <c r="S29" s="56"/>
    </row>
    <row r="30" spans="1:19" ht="24" x14ac:dyDescent="0.25">
      <c r="A30" s="1"/>
      <c r="B30" s="47">
        <f t="shared" ref="B30" si="16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49">
        <f>L30*2</f>
        <v>6</v>
      </c>
      <c r="N30" s="49">
        <v>10</v>
      </c>
      <c r="O30" s="64" t="s">
        <v>165</v>
      </c>
      <c r="P30" s="50">
        <v>7.1300000000000002E-2</v>
      </c>
      <c r="Q30" s="50">
        <f t="shared" si="15"/>
        <v>0.71300000000000008</v>
      </c>
      <c r="R30" s="49"/>
      <c r="S30" s="56"/>
    </row>
    <row r="31" spans="1:19" s="59" customFormat="1" ht="24" x14ac:dyDescent="0.25">
      <c r="A31" s="57"/>
      <c r="B31" s="47">
        <f t="shared" si="6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8</v>
      </c>
      <c r="N31" s="49">
        <v>20</v>
      </c>
      <c r="O31" s="60" t="s">
        <v>160</v>
      </c>
      <c r="P31" s="60" t="s">
        <v>160</v>
      </c>
      <c r="Q31" s="50" t="s">
        <v>160</v>
      </c>
      <c r="R31" s="65" t="s">
        <v>166</v>
      </c>
      <c r="S31" s="56"/>
    </row>
    <row r="32" spans="1:19" s="59" customFormat="1" ht="36" x14ac:dyDescent="0.25">
      <c r="A32" s="57"/>
      <c r="B32" s="47">
        <f t="shared" si="6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4</v>
      </c>
      <c r="N32" s="71">
        <v>10</v>
      </c>
      <c r="O32" s="64" t="s">
        <v>165</v>
      </c>
      <c r="P32" s="50">
        <v>4.6899999999999997E-2</v>
      </c>
      <c r="Q32" s="38">
        <f>P32*N32</f>
        <v>0.46899999999999997</v>
      </c>
      <c r="R32" s="37"/>
      <c r="S32" s="56"/>
    </row>
    <row r="33" spans="1:19" s="59" customFormat="1" ht="48" x14ac:dyDescent="0.25">
      <c r="A33" s="57"/>
      <c r="B33" s="46">
        <f t="shared" si="6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6</v>
      </c>
      <c r="N33" s="37">
        <v>20</v>
      </c>
      <c r="O33" s="63" t="s">
        <v>165</v>
      </c>
      <c r="P33" s="38">
        <v>3.2800000000000003E-2</v>
      </c>
      <c r="Q33" s="50">
        <f t="shared" ref="Q33" si="17">P33*N33</f>
        <v>0.65600000000000003</v>
      </c>
      <c r="R33" s="49"/>
      <c r="S33" s="56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ref="M34:M39" si="18">L34*2</f>
        <v>4</v>
      </c>
      <c r="N34" s="37">
        <v>100</v>
      </c>
      <c r="O34" s="63" t="s">
        <v>165</v>
      </c>
      <c r="P34" s="38">
        <v>1.1999999999999999E-3</v>
      </c>
      <c r="Q34" s="50">
        <f t="shared" ref="Q34" si="19">P34*N34</f>
        <v>0.12</v>
      </c>
      <c r="R34" s="49"/>
      <c r="S34" s="56"/>
    </row>
    <row r="35" spans="1:19" x14ac:dyDescent="0.25">
      <c r="A35" s="1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8"/>
        <v>2</v>
      </c>
      <c r="N35" s="37">
        <v>100</v>
      </c>
      <c r="O35" s="63" t="s">
        <v>165</v>
      </c>
      <c r="P35" s="38">
        <v>1.1999999999999999E-3</v>
      </c>
      <c r="Q35" s="38">
        <f>P35*N35</f>
        <v>0.12</v>
      </c>
      <c r="R35" s="37"/>
      <c r="S35" s="56"/>
    </row>
    <row r="36" spans="1:19" x14ac:dyDescent="0.25">
      <c r="A36" s="1"/>
      <c r="B36" s="47">
        <f t="shared" ref="B36" si="20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49">
        <f t="shared" si="18"/>
        <v>2</v>
      </c>
      <c r="N36" s="49">
        <v>100</v>
      </c>
      <c r="O36" s="64" t="s">
        <v>165</v>
      </c>
      <c r="P36" s="50">
        <v>1.1000000000000001E-3</v>
      </c>
      <c r="Q36" s="50">
        <f t="shared" ref="Q36" si="21">P36*N36</f>
        <v>0.11</v>
      </c>
      <c r="R36" s="49"/>
      <c r="S36" s="56"/>
    </row>
    <row r="37" spans="1:19" ht="24" x14ac:dyDescent="0.25">
      <c r="A37" s="1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8"/>
        <v>2</v>
      </c>
      <c r="N37" s="37">
        <v>100</v>
      </c>
      <c r="O37" s="63" t="s">
        <v>165</v>
      </c>
      <c r="P37" s="38">
        <v>1E-3</v>
      </c>
      <c r="Q37" s="38">
        <f>P37*N37</f>
        <v>0.1</v>
      </c>
      <c r="R37" s="37"/>
      <c r="S37" s="56"/>
    </row>
    <row r="38" spans="1:19" s="59" customFormat="1" ht="24" x14ac:dyDescent="0.25">
      <c r="A38" s="57"/>
      <c r="B38" s="46">
        <f t="shared" si="6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8"/>
        <v>16</v>
      </c>
      <c r="N38" s="37">
        <v>100</v>
      </c>
      <c r="O38" s="63" t="s">
        <v>165</v>
      </c>
      <c r="P38" s="38">
        <v>1E-3</v>
      </c>
      <c r="Q38" s="38">
        <f>P38*N38</f>
        <v>0.1</v>
      </c>
      <c r="R38" s="37"/>
      <c r="S38" s="56"/>
    </row>
    <row r="39" spans="1:19" ht="24" x14ac:dyDescent="0.25">
      <c r="A39" s="1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8"/>
        <v>2</v>
      </c>
      <c r="N39" s="37">
        <v>100</v>
      </c>
      <c r="O39" s="63" t="s">
        <v>165</v>
      </c>
      <c r="P39" s="38">
        <v>5.0000000000000001E-4</v>
      </c>
      <c r="Q39" s="38">
        <f>P39*N39</f>
        <v>0.05</v>
      </c>
      <c r="R39" s="37"/>
      <c r="S39" s="56"/>
    </row>
    <row r="40" spans="1:19" x14ac:dyDescent="0.25">
      <c r="A40" s="1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49">
        <f>L40*2</f>
        <v>6</v>
      </c>
      <c r="N40" s="49">
        <v>20</v>
      </c>
      <c r="O40" s="64" t="s">
        <v>165</v>
      </c>
      <c r="P40" s="50">
        <v>2.98E-2</v>
      </c>
      <c r="Q40" s="50">
        <f t="shared" ref="Q40" si="22">P40*N40</f>
        <v>0.59599999999999997</v>
      </c>
      <c r="R40" s="49"/>
      <c r="S40" s="56"/>
    </row>
    <row r="41" spans="1:19" x14ac:dyDescent="0.25">
      <c r="A41" s="1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>L41*2</f>
        <v>6</v>
      </c>
      <c r="N41" s="37">
        <v>100</v>
      </c>
      <c r="O41" s="63" t="s">
        <v>165</v>
      </c>
      <c r="P41" s="38">
        <v>1.1000000000000001E-3</v>
      </c>
      <c r="Q41" s="38">
        <f>P41*N41</f>
        <v>0.11</v>
      </c>
      <c r="R41" s="37"/>
      <c r="S41" s="56"/>
    </row>
    <row r="42" spans="1:19" s="59" customFormat="1" x14ac:dyDescent="0.25">
      <c r="A42" s="57"/>
      <c r="B42" s="46">
        <f t="shared" si="6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4</v>
      </c>
      <c r="N42" s="37">
        <v>100</v>
      </c>
      <c r="O42" s="63" t="s">
        <v>165</v>
      </c>
      <c r="P42" s="38">
        <v>1.1000000000000001E-3</v>
      </c>
      <c r="Q42" s="38">
        <f>P42*N42</f>
        <v>0.11</v>
      </c>
      <c r="R42" s="37"/>
      <c r="S42" s="56"/>
    </row>
    <row r="43" spans="1:19" x14ac:dyDescent="0.25">
      <c r="A43" s="1"/>
      <c r="B43" s="47">
        <f t="shared" si="6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49">
        <f>L43*2</f>
        <v>4</v>
      </c>
      <c r="N43" s="49">
        <v>100</v>
      </c>
      <c r="O43" s="64" t="s">
        <v>165</v>
      </c>
      <c r="P43" s="50">
        <v>1.2999999999999999E-3</v>
      </c>
      <c r="Q43" s="50">
        <f t="shared" ref="Q43" si="23">P43*N43</f>
        <v>0.13</v>
      </c>
      <c r="R43" s="49"/>
      <c r="S43" s="56"/>
    </row>
    <row r="44" spans="1:19" x14ac:dyDescent="0.25">
      <c r="A44" s="1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>L44*2</f>
        <v>6</v>
      </c>
      <c r="N44" s="37">
        <v>100</v>
      </c>
      <c r="O44" s="63" t="s">
        <v>165</v>
      </c>
      <c r="P44" s="38">
        <v>1.1000000000000001E-3</v>
      </c>
      <c r="Q44" s="38">
        <f>P44*N44</f>
        <v>0.11</v>
      </c>
      <c r="R44" s="37"/>
      <c r="S44" s="56"/>
    </row>
    <row r="45" spans="1:19" x14ac:dyDescent="0.25">
      <c r="A45" s="1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>L45*2</f>
        <v>2</v>
      </c>
      <c r="N45" s="37">
        <v>100</v>
      </c>
      <c r="O45" s="63" t="s">
        <v>165</v>
      </c>
      <c r="P45" s="38">
        <v>1.4E-3</v>
      </c>
      <c r="Q45" s="38">
        <f>P45*N45</f>
        <v>0.13999999999999999</v>
      </c>
      <c r="R45" s="37"/>
      <c r="S45" s="56"/>
    </row>
    <row r="46" spans="1:19" s="59" customFormat="1" ht="24" x14ac:dyDescent="0.25">
      <c r="A46" s="57"/>
      <c r="B46" s="47">
        <f t="shared" si="6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20</v>
      </c>
      <c r="N46" s="49" t="s">
        <v>160</v>
      </c>
      <c r="O46" s="60" t="s">
        <v>160</v>
      </c>
      <c r="P46" s="60" t="s">
        <v>160</v>
      </c>
      <c r="Q46" s="50" t="s">
        <v>160</v>
      </c>
      <c r="R46" s="49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2</v>
      </c>
      <c r="N47" s="37">
        <v>20</v>
      </c>
      <c r="O47" s="63" t="s">
        <v>165</v>
      </c>
      <c r="P47" s="38">
        <v>2.1499999999999998E-2</v>
      </c>
      <c r="Q47" s="75">
        <f>P47*N47</f>
        <v>0.42999999999999994</v>
      </c>
      <c r="R47" s="61"/>
      <c r="S47" s="62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8</v>
      </c>
      <c r="N48" s="37">
        <v>10</v>
      </c>
      <c r="O48" s="63" t="s">
        <v>165</v>
      </c>
      <c r="P48" s="38">
        <v>5.3499999999999999E-2</v>
      </c>
      <c r="Q48" s="75">
        <f>P48*N48</f>
        <v>0.53500000000000003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2</v>
      </c>
      <c r="N49" s="71">
        <v>10</v>
      </c>
      <c r="O49" s="63" t="s">
        <v>165</v>
      </c>
      <c r="P49" s="38">
        <v>4.2799999999999998E-2</v>
      </c>
      <c r="Q49" s="75">
        <f>P49*N49</f>
        <v>0.42799999999999999</v>
      </c>
      <c r="R49" s="49"/>
      <c r="S49" s="56"/>
    </row>
    <row r="50" spans="1:19" ht="24" x14ac:dyDescent="0.25">
      <c r="A50" s="1"/>
      <c r="B50" s="47">
        <f t="shared" ref="B50:B52" si="24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49">
        <f>L50*2</f>
        <v>2</v>
      </c>
      <c r="N50" s="49">
        <v>5</v>
      </c>
      <c r="O50" s="64" t="s">
        <v>165</v>
      </c>
      <c r="P50" s="50">
        <v>0.17979999999999999</v>
      </c>
      <c r="Q50" s="50">
        <f t="shared" ref="Q50" si="25">P50*N50</f>
        <v>0.89899999999999991</v>
      </c>
      <c r="R50" s="49"/>
      <c r="S50" s="56"/>
    </row>
    <row r="51" spans="1:19" ht="24" x14ac:dyDescent="0.25">
      <c r="A51" s="1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>L51*2</f>
        <v>2</v>
      </c>
      <c r="N51" s="37">
        <v>3</v>
      </c>
      <c r="O51" s="63" t="s">
        <v>165</v>
      </c>
      <c r="P51" s="38">
        <v>0.55530000000000002</v>
      </c>
      <c r="Q51" s="38">
        <f>P51*N51</f>
        <v>1.6659000000000002</v>
      </c>
      <c r="R51" s="37"/>
      <c r="S51" s="56"/>
    </row>
    <row r="52" spans="1:19" ht="36" x14ac:dyDescent="0.25">
      <c r="A52" s="1"/>
      <c r="B52" s="47">
        <f t="shared" si="24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49">
        <f>L52*2</f>
        <v>2</v>
      </c>
      <c r="N52" s="49">
        <v>3</v>
      </c>
      <c r="O52" s="64" t="s">
        <v>165</v>
      </c>
      <c r="P52" s="50">
        <v>0.63639999999999997</v>
      </c>
      <c r="Q52" s="50">
        <f t="shared" ref="Q52" si="26">P52*N52</f>
        <v>1.9091999999999998</v>
      </c>
      <c r="R52" s="49"/>
      <c r="S52" s="56"/>
    </row>
    <row r="53" spans="1:19" s="59" customFormat="1" x14ac:dyDescent="0.25">
      <c r="A53" s="57"/>
      <c r="B53" s="47">
        <f t="shared" si="6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2</v>
      </c>
      <c r="N53" s="37">
        <v>3</v>
      </c>
      <c r="O53" s="64" t="s">
        <v>165</v>
      </c>
      <c r="P53" s="50">
        <v>3.2519</v>
      </c>
      <c r="Q53" s="38">
        <f>P53*N53</f>
        <v>9.7557000000000009</v>
      </c>
      <c r="R53" s="37"/>
      <c r="S53" s="56"/>
    </row>
    <row r="54" spans="1:19" ht="24" x14ac:dyDescent="0.25">
      <c r="A54" s="1"/>
      <c r="B54" s="47">
        <f t="shared" si="6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49">
        <f>L54*2</f>
        <v>2</v>
      </c>
      <c r="N54" s="49">
        <v>5</v>
      </c>
      <c r="O54" s="64" t="s">
        <v>165</v>
      </c>
      <c r="P54" s="50">
        <v>0.16209999999999999</v>
      </c>
      <c r="Q54" s="50">
        <f t="shared" ref="Q54" si="27">P54*N54</f>
        <v>0.8105</v>
      </c>
      <c r="R54" s="49"/>
      <c r="S54" s="56"/>
    </row>
    <row r="55" spans="1:19" x14ac:dyDescent="0.25">
      <c r="A55" s="1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>L55*2</f>
        <v>2</v>
      </c>
      <c r="N55" s="37">
        <v>3</v>
      </c>
      <c r="O55" s="63" t="s">
        <v>165</v>
      </c>
      <c r="P55" s="38">
        <v>1.2776000000000001</v>
      </c>
      <c r="Q55" s="38">
        <f>P55*N55</f>
        <v>3.8328000000000002</v>
      </c>
      <c r="R55" s="37"/>
      <c r="S55" s="56"/>
    </row>
    <row r="56" spans="1:19" ht="24" x14ac:dyDescent="0.25">
      <c r="A56" s="1"/>
      <c r="B56" s="47">
        <f t="shared" si="6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49">
        <f>L56*2</f>
        <v>2</v>
      </c>
      <c r="N56" s="49">
        <v>3</v>
      </c>
      <c r="O56" s="64" t="s">
        <v>165</v>
      </c>
      <c r="P56" s="50">
        <v>0.11070000000000001</v>
      </c>
      <c r="Q56" s="50">
        <f t="shared" ref="Q56" si="28">P56*N56</f>
        <v>0.33210000000000001</v>
      </c>
      <c r="R56" s="49"/>
      <c r="S56" s="56"/>
    </row>
    <row r="57" spans="1:19" ht="15.75" thickBot="1" x14ac:dyDescent="0.3">
      <c r="A57" s="1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>L57*2</f>
        <v>2</v>
      </c>
      <c r="N57" s="37">
        <v>3</v>
      </c>
      <c r="O57" s="63" t="s">
        <v>165</v>
      </c>
      <c r="P57" s="38">
        <v>0.84799999999999998</v>
      </c>
      <c r="Q57" s="38">
        <f>P57*N57</f>
        <v>2.544</v>
      </c>
      <c r="R57" s="37"/>
      <c r="S57" s="39"/>
    </row>
    <row r="58" spans="1:19" s="59" customFormat="1" ht="48.75" thickBot="1" x14ac:dyDescent="0.3">
      <c r="A58" s="57"/>
      <c r="B58" s="47">
        <f t="shared" si="6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ref="M58" si="29">L58*2</f>
        <v>2</v>
      </c>
      <c r="N58" s="49">
        <v>5</v>
      </c>
      <c r="O58" s="64" t="s">
        <v>177</v>
      </c>
      <c r="P58" s="50">
        <v>3.28</v>
      </c>
      <c r="Q58" s="50">
        <f t="shared" ref="Q58" si="30">P58*N58</f>
        <v>16.399999999999999</v>
      </c>
      <c r="R58" s="49"/>
      <c r="S58" s="56"/>
    </row>
    <row r="59" spans="1:19" ht="19.5" thickBot="1" x14ac:dyDescent="0.3">
      <c r="B59" s="40"/>
      <c r="C59" s="41"/>
      <c r="D59" s="42"/>
      <c r="E59" s="43"/>
      <c r="F59" s="44"/>
      <c r="G59" s="45"/>
      <c r="H59" s="44"/>
      <c r="I59" s="45"/>
      <c r="J59" s="44"/>
      <c r="K59" s="45"/>
      <c r="L59" s="45"/>
      <c r="M59" s="45"/>
      <c r="N59" s="78" t="s">
        <v>5</v>
      </c>
      <c r="O59" s="79"/>
      <c r="P59" s="79"/>
      <c r="Q59" s="48">
        <f>SUM(Q10:Q58)</f>
        <v>55.870699999999985</v>
      </c>
      <c r="R59" s="84"/>
      <c r="S59" s="85"/>
    </row>
    <row r="60" spans="1:19" ht="19.5" thickBot="1" x14ac:dyDescent="0.3">
      <c r="B60" s="25"/>
      <c r="C60" s="36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78" t="s">
        <v>6</v>
      </c>
      <c r="O60" s="79"/>
      <c r="P60" s="79"/>
      <c r="Q60" s="48">
        <f>Q59/2</f>
        <v>27.935349999999993</v>
      </c>
      <c r="R60" s="86"/>
      <c r="S60" s="87"/>
    </row>
    <row r="69" spans="17:17" x14ac:dyDescent="0.25">
      <c r="Q69" s="69"/>
    </row>
    <row r="70" spans="17:17" x14ac:dyDescent="0.25">
      <c r="Q70" s="68"/>
    </row>
  </sheetData>
  <mergeCells count="5">
    <mergeCell ref="N59:P59"/>
    <mergeCell ref="R59:S60"/>
    <mergeCell ref="N60:P60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48" r:id="rId46"/>
  </hyperlinks>
  <pageMargins left="0.7" right="0.7" top="0.75" bottom="0.75" header="0.3" footer="0.3"/>
  <pageSetup orientation="portrait" r:id="rId47"/>
  <drawing r:id="rId4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72"/>
  <sheetViews>
    <sheetView topLeftCell="G38" workbookViewId="0">
      <selection activeCell="Q60" sqref="Q6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2.285156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0"/>
      <c r="L1" s="80"/>
      <c r="M1" s="80"/>
      <c r="N1" s="80"/>
      <c r="O1" s="80"/>
      <c r="P1" s="80"/>
      <c r="Q1" s="80"/>
      <c r="R1" s="80"/>
      <c r="S1" s="81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2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3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3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154</v>
      </c>
      <c r="N9" s="30" t="s">
        <v>155</v>
      </c>
      <c r="O9" s="30" t="s">
        <v>156</v>
      </c>
      <c r="P9" s="30" t="s">
        <v>315</v>
      </c>
      <c r="Q9" s="30" t="s">
        <v>157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58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</f>
        <v>30</v>
      </c>
      <c r="N10" s="37">
        <v>40</v>
      </c>
      <c r="O10" s="64" t="s">
        <v>165</v>
      </c>
      <c r="P10" s="50">
        <v>3.9300000000000002E-2</v>
      </c>
      <c r="Q10" s="38">
        <f>P10*N10</f>
        <v>1.5720000000000001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>L11*5</f>
        <v>75</v>
      </c>
      <c r="N11" s="49">
        <v>100</v>
      </c>
      <c r="O11" s="64" t="s">
        <v>165</v>
      </c>
      <c r="P11" s="50">
        <v>1.9E-3</v>
      </c>
      <c r="Q11" s="50">
        <f t="shared" ref="Q11" si="1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ref="M12:M58" si="2">L12*5</f>
        <v>20</v>
      </c>
      <c r="N12" s="37">
        <v>50</v>
      </c>
      <c r="O12" s="63" t="s">
        <v>165</v>
      </c>
      <c r="P12" s="38">
        <v>1.5599999999999999E-2</v>
      </c>
      <c r="Q12" s="38">
        <f>P12*N12</f>
        <v>0.77999999999999992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2"/>
        <v>10</v>
      </c>
      <c r="N13" s="37">
        <v>100</v>
      </c>
      <c r="O13" s="64" t="s">
        <v>165</v>
      </c>
      <c r="P13" s="50">
        <v>2.7000000000000001E-3</v>
      </c>
      <c r="Q13" s="38">
        <f>P13*N13</f>
        <v>0.27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2"/>
        <v>25</v>
      </c>
      <c r="N14" s="49">
        <v>100</v>
      </c>
      <c r="O14" s="64" t="s">
        <v>165</v>
      </c>
      <c r="P14" s="50">
        <v>5.1999999999999998E-3</v>
      </c>
      <c r="Q14" s="50">
        <f t="shared" ref="Q14" si="4">P14*N14</f>
        <v>0.52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2"/>
        <v>10</v>
      </c>
      <c r="N15" s="37">
        <v>20</v>
      </c>
      <c r="O15" s="64" t="s">
        <v>165</v>
      </c>
      <c r="P15" s="50">
        <v>3.5700000000000003E-2</v>
      </c>
      <c r="Q15" s="38">
        <f>P15*N15</f>
        <v>0.71400000000000008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2"/>
        <v>5</v>
      </c>
      <c r="N16" s="49">
        <v>100</v>
      </c>
      <c r="O16" s="64" t="s">
        <v>165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2"/>
        <v>5</v>
      </c>
      <c r="N17" s="37">
        <v>10</v>
      </c>
      <c r="O17" s="63" t="s">
        <v>165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24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2"/>
        <v>10</v>
      </c>
      <c r="N18" s="37">
        <v>20</v>
      </c>
      <c r="O18" s="64" t="s">
        <v>165</v>
      </c>
      <c r="P18" s="50">
        <v>4.48E-2</v>
      </c>
      <c r="Q18" s="38">
        <f>P18*N18</f>
        <v>0.89600000000000002</v>
      </c>
      <c r="R18" s="37"/>
      <c r="S18" s="56"/>
    </row>
    <row r="19" spans="1:19" s="59" customFormat="1" ht="24" x14ac:dyDescent="0.25">
      <c r="A19" s="57"/>
      <c r="B19" s="46">
        <f t="shared" ref="B19:B25" si="6">ROW(B19) - ROW($B$9)</f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2"/>
        <v>5</v>
      </c>
      <c r="N19" s="49">
        <v>10</v>
      </c>
      <c r="O19" s="63" t="s">
        <v>165</v>
      </c>
      <c r="P19" s="38">
        <v>9.5100000000000004E-2</v>
      </c>
      <c r="Q19" s="50">
        <f t="shared" ref="Q19" si="7">P19*N19</f>
        <v>0.95100000000000007</v>
      </c>
      <c r="R19" s="49"/>
      <c r="S19" s="56"/>
    </row>
    <row r="20" spans="1:19" s="59" customFormat="1" x14ac:dyDescent="0.25">
      <c r="A20" s="57"/>
      <c r="B20" s="46">
        <f t="shared" si="6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2"/>
        <v>15</v>
      </c>
      <c r="N20" s="37">
        <v>20</v>
      </c>
      <c r="O20" s="63" t="s">
        <v>165</v>
      </c>
      <c r="P20" s="38">
        <v>3.2199999999999999E-2</v>
      </c>
      <c r="Q20" s="38">
        <f>P20*N20</f>
        <v>0.64400000000000002</v>
      </c>
      <c r="R20" s="37"/>
      <c r="S20" s="56"/>
    </row>
    <row r="21" spans="1:19" s="59" customFormat="1" ht="24" x14ac:dyDescent="0.25">
      <c r="A21" s="57"/>
      <c r="B21" s="46">
        <f t="shared" si="6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2"/>
        <v>5</v>
      </c>
      <c r="N21" s="49">
        <v>10</v>
      </c>
      <c r="O21" s="63" t="s">
        <v>165</v>
      </c>
      <c r="P21" s="38">
        <v>9.5000000000000001E-2</v>
      </c>
      <c r="Q21" s="50">
        <f t="shared" ref="Q21" si="8">P21*N21</f>
        <v>0.95</v>
      </c>
      <c r="R21" s="49"/>
      <c r="S21" s="56"/>
    </row>
    <row r="22" spans="1:19" s="59" customFormat="1" ht="24" x14ac:dyDescent="0.25">
      <c r="A22" s="57"/>
      <c r="B22" s="47">
        <f t="shared" si="6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2"/>
        <v>5</v>
      </c>
      <c r="N22" s="37">
        <v>20</v>
      </c>
      <c r="O22" s="64" t="s">
        <v>165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4" x14ac:dyDescent="0.25">
      <c r="A23" s="57"/>
      <c r="B23" s="46">
        <f t="shared" si="6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2"/>
        <v>5</v>
      </c>
      <c r="N23" s="49">
        <v>10</v>
      </c>
      <c r="O23" s="63" t="s">
        <v>165</v>
      </c>
      <c r="P23" s="38">
        <v>0.21740000000000001</v>
      </c>
      <c r="Q23" s="50">
        <f t="shared" ref="Q23" si="9">P23*N23</f>
        <v>2.1739999999999999</v>
      </c>
      <c r="R23" s="49"/>
      <c r="S23" s="56"/>
    </row>
    <row r="24" spans="1:19" s="59" customFormat="1" ht="24" x14ac:dyDescent="0.25">
      <c r="A24" s="57"/>
      <c r="B24" s="46">
        <f t="shared" si="6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2"/>
        <v>5</v>
      </c>
      <c r="N24" s="37">
        <v>12</v>
      </c>
      <c r="O24" s="63" t="s">
        <v>165</v>
      </c>
      <c r="P24" s="38">
        <v>7.1999999999999995E-2</v>
      </c>
      <c r="Q24" s="38">
        <f>P24*N24</f>
        <v>0.86399999999999988</v>
      </c>
      <c r="R24" s="37"/>
      <c r="S24" s="56"/>
    </row>
    <row r="25" spans="1:19" s="59" customFormat="1" x14ac:dyDescent="0.25">
      <c r="A25" s="57"/>
      <c r="B25" s="46">
        <f t="shared" si="6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2"/>
        <v>5</v>
      </c>
      <c r="N25" s="49">
        <v>20</v>
      </c>
      <c r="O25" s="63" t="s">
        <v>165</v>
      </c>
      <c r="P25" s="38">
        <v>2.46E-2</v>
      </c>
      <c r="Q25" s="50">
        <f t="shared" ref="Q25" si="10">P25*N25</f>
        <v>0.49199999999999999</v>
      </c>
      <c r="R25" s="49"/>
      <c r="S25" s="56"/>
    </row>
    <row r="26" spans="1:19" s="59" customFormat="1" ht="24" x14ac:dyDescent="0.25">
      <c r="A26" s="57"/>
      <c r="B26" s="47">
        <f t="shared" ref="B26" si="11">ROW(B26) - ROW($B$9)</f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2"/>
        <v>5</v>
      </c>
      <c r="N26" s="37">
        <v>10</v>
      </c>
      <c r="O26" s="64" t="s">
        <v>165</v>
      </c>
      <c r="P26" s="50">
        <v>4.07E-2</v>
      </c>
      <c r="Q26" s="38">
        <f>P26*N26</f>
        <v>0.40700000000000003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2"/>
        <v>10</v>
      </c>
      <c r="N27" s="49">
        <v>11</v>
      </c>
      <c r="O27" s="63" t="s">
        <v>165</v>
      </c>
      <c r="P27" s="38">
        <v>0.50119999999999998</v>
      </c>
      <c r="Q27" s="50">
        <f t="shared" ref="Q27" si="12">P27*N27</f>
        <v>5.5131999999999994</v>
      </c>
      <c r="R27" s="49"/>
      <c r="S27" s="56"/>
    </row>
    <row r="28" spans="1:19" s="59" customFormat="1" ht="24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2"/>
        <v>5</v>
      </c>
      <c r="N28" s="37">
        <v>20</v>
      </c>
      <c r="O28" s="64" t="s">
        <v>165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24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2"/>
        <v>5</v>
      </c>
      <c r="N29" s="49">
        <v>20</v>
      </c>
      <c r="O29" s="63" t="s">
        <v>165</v>
      </c>
      <c r="P29" s="38">
        <v>2.3300000000000001E-2</v>
      </c>
      <c r="Q29" s="50">
        <f t="shared" ref="Q29" si="13">P29*N29</f>
        <v>0.46600000000000003</v>
      </c>
      <c r="R29" s="49"/>
      <c r="S29" s="56"/>
    </row>
    <row r="30" spans="1:19" s="59" customFormat="1" ht="24" x14ac:dyDescent="0.25">
      <c r="A30" s="57"/>
      <c r="B30" s="47">
        <f t="shared" ref="B30" si="14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2"/>
        <v>15</v>
      </c>
      <c r="N30" s="37">
        <v>20</v>
      </c>
      <c r="O30" s="64" t="s">
        <v>165</v>
      </c>
      <c r="P30" s="50">
        <v>7.1300000000000002E-2</v>
      </c>
      <c r="Q30" s="38">
        <f>P30*N30</f>
        <v>1.4260000000000002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2"/>
        <v>20</v>
      </c>
      <c r="N31" s="49">
        <v>12</v>
      </c>
      <c r="O31" s="60" t="s">
        <v>160</v>
      </c>
      <c r="P31" s="60" t="s">
        <v>160</v>
      </c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2"/>
        <v>10</v>
      </c>
      <c r="N32" s="37">
        <v>20</v>
      </c>
      <c r="O32" s="64" t="s">
        <v>165</v>
      </c>
      <c r="P32" s="50">
        <v>4.6899999999999997E-2</v>
      </c>
      <c r="Q32" s="76">
        <f>P32*N32</f>
        <v>0.93799999999999994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2"/>
        <v>15</v>
      </c>
      <c r="N33" s="71">
        <v>20</v>
      </c>
      <c r="O33" s="63" t="s">
        <v>165</v>
      </c>
      <c r="P33" s="38">
        <v>3.3500000000000002E-2</v>
      </c>
      <c r="Q33" s="74">
        <f>P33*N33</f>
        <v>0.67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2"/>
        <v>10</v>
      </c>
      <c r="N34" s="37">
        <v>100</v>
      </c>
      <c r="O34" s="63" t="s">
        <v>165</v>
      </c>
      <c r="P34" s="38">
        <v>1.1999999999999999E-3</v>
      </c>
      <c r="Q34" s="38">
        <f>P34*N34</f>
        <v>0.12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2"/>
        <v>5</v>
      </c>
      <c r="N35" s="49">
        <v>100</v>
      </c>
      <c r="O35" s="63" t="s">
        <v>165</v>
      </c>
      <c r="P35" s="38">
        <v>1.1999999999999999E-3</v>
      </c>
      <c r="Q35" s="50">
        <f t="shared" ref="Q35" si="15">P35*N35</f>
        <v>0.12</v>
      </c>
      <c r="R35" s="49"/>
      <c r="S35" s="56"/>
    </row>
    <row r="36" spans="1:19" s="59" customFormat="1" x14ac:dyDescent="0.25">
      <c r="A36" s="57"/>
      <c r="B36" s="47">
        <f t="shared" ref="B36" si="16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2"/>
        <v>5</v>
      </c>
      <c r="N36" s="37">
        <v>100</v>
      </c>
      <c r="O36" s="64" t="s">
        <v>165</v>
      </c>
      <c r="P36" s="50">
        <v>1.1000000000000001E-3</v>
      </c>
      <c r="Q36" s="38">
        <f>P36*N36</f>
        <v>0.11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2"/>
        <v>5</v>
      </c>
      <c r="N37" s="49">
        <v>100</v>
      </c>
      <c r="O37" s="63" t="s">
        <v>165</v>
      </c>
      <c r="P37" s="38">
        <v>1E-3</v>
      </c>
      <c r="Q37" s="50">
        <f t="shared" ref="Q37" si="17">P37*N37</f>
        <v>0.1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2"/>
        <v>40</v>
      </c>
      <c r="N38" s="37">
        <v>100</v>
      </c>
      <c r="O38" s="63" t="s">
        <v>165</v>
      </c>
      <c r="P38" s="38">
        <v>1E-3</v>
      </c>
      <c r="Q38" s="38">
        <f>P38*N38</f>
        <v>0.1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2"/>
        <v>5</v>
      </c>
      <c r="N39" s="49">
        <v>10</v>
      </c>
      <c r="O39" s="63" t="s">
        <v>165</v>
      </c>
      <c r="P39" s="38">
        <v>5.0000000000000001E-4</v>
      </c>
      <c r="Q39" s="50">
        <f t="shared" ref="Q39" si="18">P39*N39</f>
        <v>5.0000000000000001E-3</v>
      </c>
      <c r="R39" s="49"/>
      <c r="S39" s="56"/>
    </row>
    <row r="40" spans="1:19" s="59" customFormat="1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>L40*5</f>
        <v>15</v>
      </c>
      <c r="N40" s="37">
        <v>20</v>
      </c>
      <c r="O40" s="64" t="s">
        <v>165</v>
      </c>
      <c r="P40" s="50">
        <v>2.98E-2</v>
      </c>
      <c r="Q40" s="38">
        <f>P40*N40</f>
        <v>0.59599999999999997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>L41*5</f>
        <v>15</v>
      </c>
      <c r="N41" s="71">
        <v>100</v>
      </c>
      <c r="O41" s="63" t="s">
        <v>165</v>
      </c>
      <c r="P41" s="38">
        <v>1.1000000000000001E-3</v>
      </c>
      <c r="Q41" s="50">
        <f>P41*N41</f>
        <v>0.11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2"/>
        <v>10</v>
      </c>
      <c r="N42" s="37">
        <v>100</v>
      </c>
      <c r="O42" s="63" t="s">
        <v>165</v>
      </c>
      <c r="P42" s="38">
        <v>1.1000000000000001E-3</v>
      </c>
      <c r="Q42" s="77">
        <f>P42*N42</f>
        <v>0.11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2"/>
        <v>10</v>
      </c>
      <c r="N43" s="37">
        <v>100</v>
      </c>
      <c r="O43" s="64" t="s">
        <v>165</v>
      </c>
      <c r="P43" s="50">
        <v>1.2999999999999999E-3</v>
      </c>
      <c r="Q43" s="38">
        <f>P43*N43</f>
        <v>0.13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2"/>
        <v>15</v>
      </c>
      <c r="N44" s="49">
        <v>100</v>
      </c>
      <c r="O44" s="63" t="s">
        <v>165</v>
      </c>
      <c r="P44" s="38">
        <v>1.1000000000000001E-3</v>
      </c>
      <c r="Q44" s="50">
        <f t="shared" ref="Q44:Q45" si="19">P44*N44</f>
        <v>0.11</v>
      </c>
      <c r="R44" s="49"/>
      <c r="S44" s="56"/>
    </row>
    <row r="45" spans="1:19" x14ac:dyDescent="0.25">
      <c r="A45" s="1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49">
        <f t="shared" si="2"/>
        <v>5</v>
      </c>
      <c r="N45" s="49">
        <v>100</v>
      </c>
      <c r="O45" s="63" t="s">
        <v>165</v>
      </c>
      <c r="P45" s="38">
        <v>1.4E-3</v>
      </c>
      <c r="Q45" s="50">
        <f t="shared" si="19"/>
        <v>0.13999999999999999</v>
      </c>
      <c r="R45" s="49"/>
      <c r="S45" s="56"/>
    </row>
    <row r="46" spans="1:19" s="59" customFormat="1" ht="24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2"/>
        <v>50</v>
      </c>
      <c r="N46" s="37">
        <v>100</v>
      </c>
      <c r="O46" s="60" t="s">
        <v>160</v>
      </c>
      <c r="P46" s="60" t="s">
        <v>160</v>
      </c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2"/>
        <v>5</v>
      </c>
      <c r="N47" s="49">
        <v>20</v>
      </c>
      <c r="O47" s="63" t="s">
        <v>165</v>
      </c>
      <c r="P47" s="38">
        <v>2.1499999999999998E-2</v>
      </c>
      <c r="Q47" s="50">
        <f t="shared" ref="Q47" si="20">P47*N47</f>
        <v>0.42999999999999994</v>
      </c>
      <c r="R47" s="49"/>
      <c r="S47" s="56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>L48*5</f>
        <v>20</v>
      </c>
      <c r="N48" s="37">
        <v>30</v>
      </c>
      <c r="O48" s="63" t="s">
        <v>165</v>
      </c>
      <c r="P48" s="38">
        <v>5.3499999999999999E-2</v>
      </c>
      <c r="Q48" s="75">
        <f>P48*N48</f>
        <v>1.605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2"/>
        <v>5</v>
      </c>
      <c r="N49" s="37">
        <v>10</v>
      </c>
      <c r="O49" s="63" t="s">
        <v>165</v>
      </c>
      <c r="P49" s="38">
        <v>4.2799999999999998E-2</v>
      </c>
      <c r="Q49" s="38">
        <f>P49*N49</f>
        <v>0.42799999999999999</v>
      </c>
      <c r="R49" s="37"/>
      <c r="S49" s="56"/>
    </row>
    <row r="50" spans="1:19" s="59" customFormat="1" x14ac:dyDescent="0.25">
      <c r="A50" s="57"/>
      <c r="B50" s="47">
        <f t="shared" ref="B50:B52" si="21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2"/>
        <v>5</v>
      </c>
      <c r="N50" s="49">
        <v>10</v>
      </c>
      <c r="O50" s="64" t="s">
        <v>165</v>
      </c>
      <c r="P50" s="50">
        <v>0.17979999999999999</v>
      </c>
      <c r="Q50" s="50">
        <f t="shared" ref="Q50" si="22">P50*N50</f>
        <v>1.7979999999999998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2"/>
        <v>5</v>
      </c>
      <c r="N51" s="37">
        <v>6</v>
      </c>
      <c r="O51" s="63" t="s">
        <v>165</v>
      </c>
      <c r="P51" s="38">
        <v>0.55530000000000002</v>
      </c>
      <c r="Q51" s="38">
        <f>P51*N51</f>
        <v>3.3318000000000003</v>
      </c>
      <c r="R51" s="37"/>
      <c r="S51" s="56"/>
    </row>
    <row r="52" spans="1:19" s="59" customFormat="1" ht="36" x14ac:dyDescent="0.25">
      <c r="A52" s="57"/>
      <c r="B52" s="47">
        <f t="shared" si="21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2"/>
        <v>5</v>
      </c>
      <c r="N52" s="49">
        <v>6</v>
      </c>
      <c r="O52" s="64" t="s">
        <v>165</v>
      </c>
      <c r="P52" s="50">
        <v>0.63639999999999997</v>
      </c>
      <c r="Q52" s="50">
        <f t="shared" ref="Q52" si="23">P52*N52</f>
        <v>3.8183999999999996</v>
      </c>
      <c r="R52" s="49"/>
      <c r="S52" s="56"/>
    </row>
    <row r="53" spans="1:19" s="59" customFormat="1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2"/>
        <v>5</v>
      </c>
      <c r="N53" s="37">
        <v>6</v>
      </c>
      <c r="O53" s="64" t="s">
        <v>165</v>
      </c>
      <c r="P53" s="50">
        <v>3.2519</v>
      </c>
      <c r="Q53" s="38">
        <f>P53*N53</f>
        <v>19.511400000000002</v>
      </c>
      <c r="R53" s="37"/>
      <c r="S53" s="56"/>
    </row>
    <row r="54" spans="1:19" s="59" customFormat="1" ht="24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2"/>
        <v>5</v>
      </c>
      <c r="N54" s="49">
        <v>10</v>
      </c>
      <c r="O54" s="64" t="s">
        <v>165</v>
      </c>
      <c r="P54" s="50">
        <v>0.16209999999999999</v>
      </c>
      <c r="Q54" s="50">
        <f t="shared" ref="Q54" si="24">P54*N54</f>
        <v>1.621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2"/>
        <v>5</v>
      </c>
      <c r="N55" s="37">
        <v>6</v>
      </c>
      <c r="O55" s="63" t="s">
        <v>165</v>
      </c>
      <c r="P55" s="38">
        <v>1.2776000000000001</v>
      </c>
      <c r="Q55" s="38">
        <f>P55*N55</f>
        <v>7.6656000000000004</v>
      </c>
      <c r="R55" s="37"/>
      <c r="S55" s="56"/>
    </row>
    <row r="56" spans="1:19" s="59" customFormat="1" ht="24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2"/>
        <v>5</v>
      </c>
      <c r="N56" s="49">
        <v>6</v>
      </c>
      <c r="O56" s="64" t="s">
        <v>165</v>
      </c>
      <c r="P56" s="50">
        <v>0.11070000000000001</v>
      </c>
      <c r="Q56" s="50">
        <f t="shared" ref="Q56" si="25">P56*N56</f>
        <v>0.66420000000000001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2"/>
        <v>5</v>
      </c>
      <c r="N57" s="37">
        <v>6</v>
      </c>
      <c r="O57" s="63" t="s">
        <v>165</v>
      </c>
      <c r="P57" s="38">
        <v>0.84799999999999998</v>
      </c>
      <c r="Q57" s="38">
        <f>P57*N57</f>
        <v>5.0880000000000001</v>
      </c>
      <c r="R57" s="37"/>
      <c r="S57" s="56"/>
    </row>
    <row r="58" spans="1:19" s="59" customFormat="1" ht="48.75" thickBot="1" x14ac:dyDescent="0.3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2"/>
        <v>5</v>
      </c>
      <c r="N58" s="49">
        <v>5</v>
      </c>
      <c r="O58" s="64" t="s">
        <v>177</v>
      </c>
      <c r="P58" s="50">
        <v>3.28</v>
      </c>
      <c r="Q58" s="50">
        <f t="shared" ref="Q58" si="26">P58*N58</f>
        <v>16.399999999999999</v>
      </c>
      <c r="R58" s="49"/>
      <c r="S58" s="56"/>
    </row>
    <row r="59" spans="1:19" ht="19.5" thickBot="1" x14ac:dyDescent="0.3">
      <c r="A59" s="1"/>
      <c r="B59" s="40"/>
      <c r="C59" s="41"/>
      <c r="D59" s="42"/>
      <c r="E59" s="43"/>
      <c r="F59" s="44"/>
      <c r="G59" s="45"/>
      <c r="H59" s="44"/>
      <c r="I59" s="45"/>
      <c r="J59" s="44"/>
      <c r="K59" s="45"/>
      <c r="L59" s="45"/>
      <c r="M59" s="45"/>
      <c r="N59" s="78" t="s">
        <v>5</v>
      </c>
      <c r="O59" s="79"/>
      <c r="P59" s="79"/>
      <c r="Q59" s="48">
        <f>SUM(Q10:Q58)</f>
        <v>86.800600000000003</v>
      </c>
      <c r="R59" s="45"/>
      <c r="S59" s="45"/>
    </row>
    <row r="60" spans="1:19" s="59" customFormat="1" ht="19.5" thickBot="1" x14ac:dyDescent="0.3">
      <c r="A60" s="57"/>
      <c r="B60" s="25"/>
      <c r="C60" s="36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78" t="s">
        <v>6</v>
      </c>
      <c r="O60" s="79"/>
      <c r="P60" s="79"/>
      <c r="Q60" s="48">
        <f>Q59/5</f>
        <v>17.360120000000002</v>
      </c>
      <c r="R60" s="10"/>
      <c r="S60" s="10"/>
    </row>
    <row r="72" spans="14:14" ht="15.75" x14ac:dyDescent="0.25">
      <c r="N72" s="67"/>
    </row>
  </sheetData>
  <mergeCells count="4">
    <mergeCell ref="N59:P59"/>
    <mergeCell ref="N60:P60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</hyperlinks>
  <pageMargins left="0.7" right="0.7" top="0.75" bottom="0.75" header="0.3" footer="0.3"/>
  <pageSetup paperSize="9" orientation="portrait" r:id="rId48"/>
  <drawing r:id="rId4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0"/>
  <sheetViews>
    <sheetView tabSelected="1" topLeftCell="F39" workbookViewId="0">
      <selection activeCell="P52" sqref="P52"/>
    </sheetView>
  </sheetViews>
  <sheetFormatPr defaultRowHeight="15" x14ac:dyDescent="0.25"/>
  <cols>
    <col min="2" max="2" width="3" bestFit="1" customWidth="1"/>
    <col min="3" max="3" width="10.5703125" customWidth="1"/>
    <col min="4" max="4" width="31.140625" bestFit="1" customWidth="1"/>
    <col min="5" max="5" width="28.85546875" customWidth="1"/>
    <col min="6" max="6" width="16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1.42578125" customWidth="1"/>
    <col min="16" max="16" width="19.7109375" bestFit="1" customWidth="1"/>
    <col min="17" max="17" width="20.285156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0"/>
      <c r="L1" s="80"/>
      <c r="M1" s="80"/>
      <c r="N1" s="80"/>
      <c r="O1" s="80"/>
      <c r="P1" s="80"/>
      <c r="Q1" s="80"/>
      <c r="R1" s="80"/>
      <c r="S1" s="81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2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3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3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316</v>
      </c>
      <c r="N9" s="30" t="s">
        <v>317</v>
      </c>
      <c r="O9" s="30" t="s">
        <v>156</v>
      </c>
      <c r="P9" s="30" t="s">
        <v>318</v>
      </c>
      <c r="Q9" s="30" t="s">
        <v>319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58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L10*50</f>
        <v>300</v>
      </c>
      <c r="N10" s="37">
        <v>310</v>
      </c>
      <c r="O10" s="64" t="s">
        <v>165</v>
      </c>
      <c r="P10" s="50">
        <v>2.9600000000000001E-2</v>
      </c>
      <c r="Q10" s="38">
        <f>P10*N10</f>
        <v>9.1760000000000002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ref="M11:M58" si="1">L11*50</f>
        <v>750</v>
      </c>
      <c r="N11" s="49">
        <v>800</v>
      </c>
      <c r="O11" s="64" t="s">
        <v>165</v>
      </c>
      <c r="P11" s="50">
        <v>1.9E-3</v>
      </c>
      <c r="Q11" s="50">
        <f t="shared" ref="Q11" si="2">P11*N11</f>
        <v>1.52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si="1"/>
        <v>200</v>
      </c>
      <c r="N12" s="37">
        <v>250</v>
      </c>
      <c r="O12" s="63" t="s">
        <v>165</v>
      </c>
      <c r="P12" s="38">
        <v>1.54E-2</v>
      </c>
      <c r="Q12" s="38">
        <f>P12*N12</f>
        <v>3.85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1"/>
        <v>100</v>
      </c>
      <c r="N13" s="37">
        <v>200</v>
      </c>
      <c r="O13" s="64" t="s">
        <v>165</v>
      </c>
      <c r="P13" s="50">
        <v>2.5000000000000001E-3</v>
      </c>
      <c r="Q13" s="38">
        <f>P13*N13</f>
        <v>0.5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250</v>
      </c>
      <c r="N14" s="49">
        <v>300</v>
      </c>
      <c r="O14" s="64" t="s">
        <v>165</v>
      </c>
      <c r="P14" s="50">
        <v>5.4999999999999997E-3</v>
      </c>
      <c r="Q14" s="50">
        <f t="shared" ref="Q14" si="4">P14*N14</f>
        <v>1.65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100</v>
      </c>
      <c r="N15" s="37">
        <v>120</v>
      </c>
      <c r="O15" s="64" t="s">
        <v>165</v>
      </c>
      <c r="P15" s="50">
        <v>3.7199999999999997E-2</v>
      </c>
      <c r="Q15" s="38">
        <f>P15*N15</f>
        <v>4.4639999999999995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1"/>
        <v>50</v>
      </c>
      <c r="N16" s="49">
        <v>100</v>
      </c>
      <c r="O16" s="64" t="s">
        <v>165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1"/>
        <v>50</v>
      </c>
      <c r="N17" s="37">
        <v>60</v>
      </c>
      <c r="O17" s="63" t="s">
        <v>165</v>
      </c>
      <c r="P17" s="38">
        <v>6.4299999999999996E-2</v>
      </c>
      <c r="Q17" s="38">
        <f>P17*N17</f>
        <v>3.8579999999999997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100</v>
      </c>
      <c r="N18" s="37">
        <v>110</v>
      </c>
      <c r="O18" s="64" t="s">
        <v>165</v>
      </c>
      <c r="P18" s="50">
        <v>3.2599999999999997E-2</v>
      </c>
      <c r="Q18" s="38">
        <f>P18*N18</f>
        <v>3.5859999999999999</v>
      </c>
      <c r="R18" s="37"/>
      <c r="S18" s="56"/>
    </row>
    <row r="19" spans="1:19" s="59" customFormat="1" ht="36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1"/>
        <v>50</v>
      </c>
      <c r="N19" s="49">
        <v>55</v>
      </c>
      <c r="O19" s="63" t="s">
        <v>165</v>
      </c>
      <c r="P19" s="38">
        <v>7.7600000000000002E-2</v>
      </c>
      <c r="Q19" s="50">
        <f t="shared" ref="Q19" si="6">P19*N19</f>
        <v>4.2679999999999998</v>
      </c>
      <c r="R19" s="49"/>
      <c r="S19" s="56"/>
    </row>
    <row r="20" spans="1:19" s="59" customFormat="1" ht="25.5" x14ac:dyDescent="0.25">
      <c r="A20" s="57"/>
      <c r="B20" s="46">
        <f t="shared" si="0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150</v>
      </c>
      <c r="N20" s="37">
        <v>160</v>
      </c>
      <c r="O20" s="63" t="s">
        <v>165</v>
      </c>
      <c r="P20" s="38">
        <v>3.1E-2</v>
      </c>
      <c r="Q20" s="38">
        <f>P20*N20</f>
        <v>4.96</v>
      </c>
      <c r="R20" s="37"/>
      <c r="S20" s="56"/>
    </row>
    <row r="21" spans="1:19" s="59" customFormat="1" ht="25.5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1"/>
        <v>50</v>
      </c>
      <c r="N21" s="49">
        <v>55</v>
      </c>
      <c r="O21" s="63" t="s">
        <v>165</v>
      </c>
      <c r="P21" s="38">
        <v>0.08</v>
      </c>
      <c r="Q21" s="50">
        <f t="shared" ref="Q21" si="7">P21*N21</f>
        <v>4.4000000000000004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1"/>
        <v>50</v>
      </c>
      <c r="N22" s="37">
        <v>60</v>
      </c>
      <c r="O22" s="64" t="s">
        <v>165</v>
      </c>
      <c r="P22" s="50">
        <v>3.39E-2</v>
      </c>
      <c r="Q22" s="38">
        <f>P22*N22</f>
        <v>2.0339999999999998</v>
      </c>
      <c r="R22" s="37"/>
      <c r="S22" s="56"/>
    </row>
    <row r="23" spans="1:19" s="59" customFormat="1" ht="25.5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50</v>
      </c>
      <c r="N23" s="49">
        <v>55</v>
      </c>
      <c r="O23" s="63" t="s">
        <v>165</v>
      </c>
      <c r="P23" s="38">
        <v>0.17949999999999999</v>
      </c>
      <c r="Q23" s="50">
        <f t="shared" ref="Q23" si="8">P23*N23</f>
        <v>9.8724999999999987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50</v>
      </c>
      <c r="N24" s="37">
        <v>60</v>
      </c>
      <c r="O24" s="63" t="s">
        <v>165</v>
      </c>
      <c r="P24" s="38">
        <v>7.0400000000000004E-2</v>
      </c>
      <c r="Q24" s="38">
        <f>P24*N24</f>
        <v>4.2240000000000002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1"/>
        <v>50</v>
      </c>
      <c r="N25" s="49">
        <v>60</v>
      </c>
      <c r="O25" s="63" t="s">
        <v>165</v>
      </c>
      <c r="P25" s="38">
        <v>2.46E-2</v>
      </c>
      <c r="Q25" s="50">
        <f t="shared" ref="Q25" si="9">P25*N25</f>
        <v>1.476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1"/>
        <v>50</v>
      </c>
      <c r="N26" s="37">
        <v>55</v>
      </c>
      <c r="O26" s="64" t="s">
        <v>165</v>
      </c>
      <c r="P26" s="50">
        <v>2.7300000000000001E-2</v>
      </c>
      <c r="Q26" s="38">
        <f>P26*N26</f>
        <v>1.5015000000000001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1"/>
        <v>100</v>
      </c>
      <c r="N27" s="49">
        <v>102</v>
      </c>
      <c r="O27" s="63" t="s">
        <v>165</v>
      </c>
      <c r="P27" s="38">
        <v>0.3135</v>
      </c>
      <c r="Q27" s="50">
        <f t="shared" ref="Q27" si="10">P27*N27</f>
        <v>31.977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50</v>
      </c>
      <c r="N28" s="37">
        <v>60</v>
      </c>
      <c r="O28" s="64" t="s">
        <v>165</v>
      </c>
      <c r="P28" s="50">
        <v>2.46E-2</v>
      </c>
      <c r="Q28" s="38">
        <f>P28*N28</f>
        <v>1.476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50</v>
      </c>
      <c r="N29" s="49">
        <v>60</v>
      </c>
      <c r="O29" s="63" t="s">
        <v>165</v>
      </c>
      <c r="P29" s="38">
        <v>2.3300000000000001E-2</v>
      </c>
      <c r="Q29" s="50">
        <f t="shared" ref="Q29" si="11">P29*N29</f>
        <v>1.3980000000000001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1"/>
        <v>150</v>
      </c>
      <c r="N30" s="37">
        <v>155</v>
      </c>
      <c r="O30" s="64" t="s">
        <v>165</v>
      </c>
      <c r="P30" s="50">
        <v>5.0200000000000002E-2</v>
      </c>
      <c r="Q30" s="38">
        <f>P30*N30</f>
        <v>7.7810000000000006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200</v>
      </c>
      <c r="N31" s="49"/>
      <c r="O31" s="60" t="s">
        <v>160</v>
      </c>
      <c r="P31" s="60" t="s">
        <v>160</v>
      </c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100</v>
      </c>
      <c r="N32" s="37">
        <v>110</v>
      </c>
      <c r="O32" s="64" t="s">
        <v>165</v>
      </c>
      <c r="P32" s="50">
        <v>2.64E-2</v>
      </c>
      <c r="Q32" s="76">
        <f>P32*N32</f>
        <v>2.9039999999999999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150</v>
      </c>
      <c r="N33" s="71">
        <v>160</v>
      </c>
      <c r="O33" s="63" t="s">
        <v>165</v>
      </c>
      <c r="P33" s="38">
        <v>3.3500000000000002E-2</v>
      </c>
      <c r="Q33" s="74">
        <f>P33*N33</f>
        <v>5.36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1"/>
        <v>100</v>
      </c>
      <c r="N34" s="37">
        <v>200</v>
      </c>
      <c r="O34" s="63" t="s">
        <v>165</v>
      </c>
      <c r="P34" s="38">
        <v>1.1999999999999999E-3</v>
      </c>
      <c r="Q34" s="38">
        <f>P34*N34</f>
        <v>0.24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"/>
        <v>50</v>
      </c>
      <c r="N35" s="49">
        <v>100</v>
      </c>
      <c r="O35" s="63" t="s">
        <v>165</v>
      </c>
      <c r="P35" s="38">
        <v>1.1999999999999999E-3</v>
      </c>
      <c r="Q35" s="50">
        <f t="shared" ref="Q35" si="13">P35*N35</f>
        <v>0.12</v>
      </c>
      <c r="R35" s="49"/>
      <c r="S35" s="56"/>
    </row>
    <row r="36" spans="1:19" s="59" customFormat="1" x14ac:dyDescent="0.25">
      <c r="A36" s="57"/>
      <c r="B36" s="47">
        <f t="shared" ref="B36" si="14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1"/>
        <v>50</v>
      </c>
      <c r="N36" s="37">
        <v>100</v>
      </c>
      <c r="O36" s="64" t="s">
        <v>165</v>
      </c>
      <c r="P36" s="50">
        <v>1.1000000000000001E-3</v>
      </c>
      <c r="Q36" s="38">
        <f>P36*N36</f>
        <v>0.11</v>
      </c>
      <c r="R36" s="37"/>
      <c r="S36" s="56"/>
    </row>
    <row r="37" spans="1:19" s="59" customFormat="1" ht="36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"/>
        <v>50</v>
      </c>
      <c r="N37" s="49">
        <v>100</v>
      </c>
      <c r="O37" s="63" t="s">
        <v>165</v>
      </c>
      <c r="P37" s="38">
        <v>1E-3</v>
      </c>
      <c r="Q37" s="50">
        <f t="shared" ref="Q37" si="15">P37*N37</f>
        <v>0.1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"/>
        <v>400</v>
      </c>
      <c r="N38" s="37">
        <v>500</v>
      </c>
      <c r="O38" s="63" t="s">
        <v>165</v>
      </c>
      <c r="P38" s="38">
        <v>1E-3</v>
      </c>
      <c r="Q38" s="38">
        <f>P38*N38</f>
        <v>0.5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"/>
        <v>50</v>
      </c>
      <c r="N39" s="49">
        <v>100</v>
      </c>
      <c r="O39" s="63" t="s">
        <v>165</v>
      </c>
      <c r="P39" s="38">
        <v>5.0000000000000001E-4</v>
      </c>
      <c r="Q39" s="50">
        <f t="shared" ref="Q39" si="16">P39*N39</f>
        <v>0.05</v>
      </c>
      <c r="R39" s="49"/>
      <c r="S39" s="56"/>
    </row>
    <row r="40" spans="1:19" s="59" customFormat="1" ht="24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 t="shared" si="1"/>
        <v>150</v>
      </c>
      <c r="N40" s="37">
        <v>160</v>
      </c>
      <c r="O40" s="64" t="s">
        <v>165</v>
      </c>
      <c r="P40" s="50">
        <v>2.4E-2</v>
      </c>
      <c r="Q40" s="38">
        <f>P40*N40</f>
        <v>3.84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 t="shared" si="1"/>
        <v>150</v>
      </c>
      <c r="N41" s="71">
        <v>200</v>
      </c>
      <c r="O41" s="63" t="s">
        <v>165</v>
      </c>
      <c r="P41" s="38">
        <v>1.1000000000000001E-3</v>
      </c>
      <c r="Q41" s="50">
        <f>P41*N41</f>
        <v>0.22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100</v>
      </c>
      <c r="N42" s="37">
        <v>200</v>
      </c>
      <c r="O42" s="63" t="s">
        <v>165</v>
      </c>
      <c r="P42" s="38">
        <v>1.1000000000000001E-3</v>
      </c>
      <c r="Q42" s="77">
        <f>P42*N42</f>
        <v>0.22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1"/>
        <v>100</v>
      </c>
      <c r="N43" s="37">
        <v>200</v>
      </c>
      <c r="O43" s="64" t="s">
        <v>165</v>
      </c>
      <c r="P43" s="50">
        <v>1.2999999999999999E-3</v>
      </c>
      <c r="Q43" s="38">
        <f>P43*N43</f>
        <v>0.26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1"/>
        <v>150</v>
      </c>
      <c r="N44" s="49">
        <v>200</v>
      </c>
      <c r="O44" s="63" t="s">
        <v>165</v>
      </c>
      <c r="P44" s="38">
        <v>1.1000000000000001E-3</v>
      </c>
      <c r="Q44" s="50">
        <f t="shared" ref="Q44:Q45" si="17">P44*N44</f>
        <v>0.22</v>
      </c>
      <c r="R44" s="49"/>
      <c r="S44" s="56"/>
    </row>
    <row r="45" spans="1:19" s="59" customFormat="1" x14ac:dyDescent="0.25">
      <c r="A45" s="57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 t="shared" si="1"/>
        <v>50</v>
      </c>
      <c r="N45" s="49">
        <v>100</v>
      </c>
      <c r="O45" s="63" t="s">
        <v>165</v>
      </c>
      <c r="P45" s="38">
        <v>1.4E-3</v>
      </c>
      <c r="Q45" s="50">
        <f t="shared" si="17"/>
        <v>0.13999999999999999</v>
      </c>
      <c r="R45" s="49"/>
      <c r="S45" s="56"/>
    </row>
    <row r="46" spans="1:19" s="59" customFormat="1" ht="25.5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500</v>
      </c>
      <c r="N46" s="37"/>
      <c r="O46" s="60" t="s">
        <v>160</v>
      </c>
      <c r="P46" s="60" t="s">
        <v>160</v>
      </c>
      <c r="Q46" s="60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50</v>
      </c>
      <c r="N47" s="49">
        <v>60</v>
      </c>
      <c r="O47" s="63" t="s">
        <v>165</v>
      </c>
      <c r="P47" s="38">
        <v>2.1299999999999999E-2</v>
      </c>
      <c r="Q47" s="50">
        <f t="shared" ref="Q47" si="18">P47*N47</f>
        <v>1.278</v>
      </c>
      <c r="R47" s="49"/>
      <c r="S47" s="56"/>
    </row>
    <row r="48" spans="1:19" s="59" customFormat="1" ht="25.5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200</v>
      </c>
      <c r="N48" s="37">
        <v>210</v>
      </c>
      <c r="O48" s="63" t="s">
        <v>165</v>
      </c>
      <c r="P48" s="38">
        <v>4.3299999999999998E-2</v>
      </c>
      <c r="Q48" s="75">
        <f>P48*N48</f>
        <v>9.093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50</v>
      </c>
      <c r="N49" s="37">
        <v>60</v>
      </c>
      <c r="O49" s="63" t="s">
        <v>165</v>
      </c>
      <c r="P49" s="38">
        <v>4.2799999999999998E-2</v>
      </c>
      <c r="Q49" s="38">
        <f>P49*N49</f>
        <v>2.5680000000000001</v>
      </c>
      <c r="R49" s="37"/>
      <c r="S49" s="56"/>
    </row>
    <row r="50" spans="1:19" s="59" customFormat="1" ht="24" x14ac:dyDescent="0.25">
      <c r="A50" s="57"/>
      <c r="B50" s="47">
        <f t="shared" ref="B50:B52" si="19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1"/>
        <v>50</v>
      </c>
      <c r="N50" s="49">
        <v>55</v>
      </c>
      <c r="O50" s="64" t="s">
        <v>165</v>
      </c>
      <c r="P50" s="50">
        <v>0.14460000000000001</v>
      </c>
      <c r="Q50" s="50">
        <f t="shared" ref="Q50" si="20">P50*N50</f>
        <v>7.9530000000000003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1"/>
        <v>50</v>
      </c>
      <c r="N51" s="37">
        <v>52</v>
      </c>
      <c r="O51" s="63" t="s">
        <v>165</v>
      </c>
      <c r="P51" s="38">
        <v>0.41849999999999998</v>
      </c>
      <c r="Q51" s="38">
        <f>P51*N51</f>
        <v>21.762</v>
      </c>
      <c r="R51" s="37"/>
      <c r="S51" s="56"/>
    </row>
    <row r="52" spans="1:19" s="59" customFormat="1" ht="36" x14ac:dyDescent="0.25">
      <c r="A52" s="57"/>
      <c r="B52" s="47">
        <f t="shared" si="19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1"/>
        <v>50</v>
      </c>
      <c r="N52" s="49">
        <v>51</v>
      </c>
      <c r="O52" s="64" t="s">
        <v>165</v>
      </c>
      <c r="P52" s="50"/>
      <c r="Q52" s="50">
        <f t="shared" ref="Q52" si="21">P52*N52</f>
        <v>0</v>
      </c>
      <c r="R52" s="49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50</v>
      </c>
      <c r="N53" s="37"/>
      <c r="O53" s="64" t="s">
        <v>165</v>
      </c>
      <c r="P53" s="50"/>
      <c r="Q53" s="38">
        <f>P53*N53</f>
        <v>0</v>
      </c>
      <c r="R53" s="37"/>
      <c r="S53" s="56"/>
    </row>
    <row r="54" spans="1:19" s="59" customFormat="1" ht="36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1"/>
        <v>50</v>
      </c>
      <c r="N54" s="49"/>
      <c r="O54" s="64" t="s">
        <v>165</v>
      </c>
      <c r="P54" s="50"/>
      <c r="Q54" s="50">
        <f t="shared" ref="Q54" si="22">P54*N54</f>
        <v>0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1"/>
        <v>50</v>
      </c>
      <c r="N55" s="37"/>
      <c r="O55" s="63" t="s">
        <v>165</v>
      </c>
      <c r="P55" s="38"/>
      <c r="Q55" s="38">
        <f>P55*N55</f>
        <v>0</v>
      </c>
      <c r="R55" s="37"/>
      <c r="S55" s="56"/>
    </row>
    <row r="56" spans="1:19" s="59" customFormat="1" ht="36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1"/>
        <v>50</v>
      </c>
      <c r="N56" s="49"/>
      <c r="O56" s="64" t="s">
        <v>165</v>
      </c>
      <c r="P56" s="50"/>
      <c r="Q56" s="50">
        <f t="shared" ref="Q56" si="23">P56*N56</f>
        <v>0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1"/>
        <v>50</v>
      </c>
      <c r="N57" s="37"/>
      <c r="O57" s="63" t="s">
        <v>165</v>
      </c>
      <c r="P57" s="38"/>
      <c r="Q57" s="38">
        <f>P57*N57</f>
        <v>0</v>
      </c>
      <c r="R57" s="37"/>
      <c r="S57" s="56"/>
    </row>
    <row r="58" spans="1:19" s="59" customFormat="1" ht="48.75" thickBot="1" x14ac:dyDescent="0.3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1"/>
        <v>50</v>
      </c>
      <c r="N58" s="49"/>
      <c r="O58" s="64" t="s">
        <v>177</v>
      </c>
      <c r="P58" s="50"/>
      <c r="Q58" s="50">
        <f t="shared" ref="Q58" si="24">P58*N58</f>
        <v>0</v>
      </c>
      <c r="R58" s="49"/>
      <c r="S58" s="56"/>
    </row>
    <row r="59" spans="1:19" ht="19.5" thickBot="1" x14ac:dyDescent="0.3">
      <c r="A59" s="1"/>
      <c r="B59" s="40"/>
      <c r="C59" s="41"/>
      <c r="D59" s="42"/>
      <c r="E59" s="43"/>
      <c r="F59" s="44"/>
      <c r="G59" s="45"/>
      <c r="H59" s="44"/>
      <c r="I59" s="45"/>
      <c r="J59" s="44"/>
      <c r="K59" s="45"/>
      <c r="L59" s="45"/>
      <c r="M59" s="45"/>
      <c r="N59" s="78" t="s">
        <v>5</v>
      </c>
      <c r="O59" s="79"/>
      <c r="P59" s="79"/>
      <c r="Q59" s="48">
        <f>SUM(Q10:Q58)</f>
        <v>161.31</v>
      </c>
      <c r="R59" s="45"/>
      <c r="S59" s="45"/>
    </row>
    <row r="60" spans="1:19" ht="19.5" thickBot="1" x14ac:dyDescent="0.3">
      <c r="A60" s="57"/>
      <c r="B60" s="25"/>
      <c r="C60" s="36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78" t="s">
        <v>6</v>
      </c>
      <c r="O60" s="79"/>
      <c r="P60" s="79"/>
      <c r="Q60" s="48">
        <f>Q59/5</f>
        <v>32.262</v>
      </c>
      <c r="R60" s="10"/>
      <c r="S60" s="10"/>
    </row>
  </sheetData>
  <mergeCells count="4">
    <mergeCell ref="K1:S1"/>
    <mergeCell ref="S3:S8"/>
    <mergeCell ref="N59:P59"/>
    <mergeCell ref="N60:P60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</hyperlinks>
  <pageMargins left="0.7" right="0.7" top="0.75" bottom="0.75" header="0.3" footer="0.3"/>
  <drawing r:id="rId4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0"/>
  <sheetViews>
    <sheetView workbookViewId="0">
      <selection activeCell="E21" sqref="E21"/>
    </sheetView>
  </sheetViews>
  <sheetFormatPr defaultRowHeight="15" x14ac:dyDescent="0.25"/>
  <cols>
    <col min="2" max="2" width="3" bestFit="1" customWidth="1"/>
    <col min="3" max="3" width="12.5703125" bestFit="1" customWidth="1"/>
    <col min="4" max="4" width="31.140625" bestFit="1" customWidth="1"/>
    <col min="5" max="5" width="29.28515625" customWidth="1"/>
    <col min="6" max="6" width="21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10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5703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0"/>
      <c r="L1" s="80"/>
      <c r="M1" s="80"/>
      <c r="N1" s="80"/>
      <c r="O1" s="80"/>
      <c r="P1" s="80"/>
      <c r="Q1" s="80"/>
      <c r="R1" s="80"/>
      <c r="S1" s="81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2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3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3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320</v>
      </c>
      <c r="N9" s="30" t="s">
        <v>321</v>
      </c>
      <c r="O9" s="30" t="s">
        <v>156</v>
      </c>
      <c r="P9" s="30" t="s">
        <v>322</v>
      </c>
      <c r="Q9" s="30" t="s">
        <v>323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58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L10*500</f>
        <v>3000</v>
      </c>
      <c r="N10" s="37"/>
      <c r="O10" s="64" t="s">
        <v>165</v>
      </c>
      <c r="P10" s="50"/>
      <c r="Q10" s="38">
        <f>P10*N10</f>
        <v>0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ref="M11:M58" si="1">L11*500</f>
        <v>7500</v>
      </c>
      <c r="N11" s="49"/>
      <c r="O11" s="64" t="s">
        <v>165</v>
      </c>
      <c r="P11" s="50"/>
      <c r="Q11" s="50">
        <f t="shared" ref="Q11" si="2">P11*N11</f>
        <v>0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si="1"/>
        <v>2000</v>
      </c>
      <c r="N12" s="37"/>
      <c r="O12" s="63" t="s">
        <v>165</v>
      </c>
      <c r="P12" s="38"/>
      <c r="Q12" s="38">
        <f>P12*N12</f>
        <v>0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1"/>
        <v>1000</v>
      </c>
      <c r="N13" s="37"/>
      <c r="O13" s="64" t="s">
        <v>165</v>
      </c>
      <c r="P13" s="50"/>
      <c r="Q13" s="38">
        <f>P13*N13</f>
        <v>0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2500</v>
      </c>
      <c r="N14" s="49"/>
      <c r="O14" s="64" t="s">
        <v>165</v>
      </c>
      <c r="P14" s="50"/>
      <c r="Q14" s="50">
        <f t="shared" ref="Q14" si="4">P14*N14</f>
        <v>0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1000</v>
      </c>
      <c r="N15" s="37"/>
      <c r="O15" s="64" t="s">
        <v>165</v>
      </c>
      <c r="P15" s="50"/>
      <c r="Q15" s="38">
        <f>P15*N15</f>
        <v>0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1"/>
        <v>500</v>
      </c>
      <c r="N16" s="49"/>
      <c r="O16" s="64" t="s">
        <v>165</v>
      </c>
      <c r="P16" s="50"/>
      <c r="Q16" s="50">
        <f t="shared" ref="Q16" si="5">P16*N16</f>
        <v>0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1"/>
        <v>500</v>
      </c>
      <c r="N17" s="37"/>
      <c r="O17" s="63" t="s">
        <v>165</v>
      </c>
      <c r="P17" s="38"/>
      <c r="Q17" s="38">
        <f>P17*N17</f>
        <v>0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1000</v>
      </c>
      <c r="N18" s="37"/>
      <c r="O18" s="64" t="s">
        <v>165</v>
      </c>
      <c r="P18" s="50"/>
      <c r="Q18" s="38">
        <f>P18*N18</f>
        <v>0</v>
      </c>
      <c r="R18" s="37"/>
      <c r="S18" s="56"/>
    </row>
    <row r="19" spans="1:19" s="59" customFormat="1" ht="24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1"/>
        <v>500</v>
      </c>
      <c r="N19" s="49"/>
      <c r="O19" s="63" t="s">
        <v>165</v>
      </c>
      <c r="P19" s="38"/>
      <c r="Q19" s="50">
        <f t="shared" ref="Q19" si="6">P19*N19</f>
        <v>0</v>
      </c>
      <c r="R19" s="49"/>
      <c r="S19" s="56"/>
    </row>
    <row r="20" spans="1:19" s="59" customFormat="1" ht="25.5" x14ac:dyDescent="0.25">
      <c r="A20" s="57"/>
      <c r="B20" s="46">
        <f t="shared" si="0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1500</v>
      </c>
      <c r="N20" s="37"/>
      <c r="O20" s="63" t="s">
        <v>165</v>
      </c>
      <c r="P20" s="38"/>
      <c r="Q20" s="38">
        <f>P20*N20</f>
        <v>0</v>
      </c>
      <c r="R20" s="37"/>
      <c r="S20" s="56"/>
    </row>
    <row r="21" spans="1:19" s="59" customFormat="1" ht="25.5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1"/>
        <v>500</v>
      </c>
      <c r="N21" s="49"/>
      <c r="O21" s="63" t="s">
        <v>165</v>
      </c>
      <c r="P21" s="38"/>
      <c r="Q21" s="50">
        <f t="shared" ref="Q21" si="7">P21*N21</f>
        <v>0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1"/>
        <v>500</v>
      </c>
      <c r="N22" s="37"/>
      <c r="O22" s="64" t="s">
        <v>165</v>
      </c>
      <c r="P22" s="50"/>
      <c r="Q22" s="38">
        <f>P22*N22</f>
        <v>0</v>
      </c>
      <c r="R22" s="37"/>
      <c r="S22" s="56"/>
    </row>
    <row r="23" spans="1:19" s="59" customFormat="1" ht="25.5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500</v>
      </c>
      <c r="N23" s="49"/>
      <c r="O23" s="63" t="s">
        <v>165</v>
      </c>
      <c r="P23" s="38"/>
      <c r="Q23" s="50">
        <f t="shared" ref="Q23" si="8">P23*N23</f>
        <v>0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500</v>
      </c>
      <c r="N24" s="37"/>
      <c r="O24" s="63" t="s">
        <v>165</v>
      </c>
      <c r="P24" s="38"/>
      <c r="Q24" s="38">
        <f>P24*N24</f>
        <v>0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1"/>
        <v>500</v>
      </c>
      <c r="N25" s="49"/>
      <c r="O25" s="63" t="s">
        <v>165</v>
      </c>
      <c r="P25" s="38"/>
      <c r="Q25" s="50">
        <f t="shared" ref="Q25" si="9">P25*N25</f>
        <v>0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1"/>
        <v>500</v>
      </c>
      <c r="N26" s="37"/>
      <c r="O26" s="64" t="s">
        <v>165</v>
      </c>
      <c r="P26" s="50"/>
      <c r="Q26" s="38">
        <f>P26*N26</f>
        <v>0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1"/>
        <v>1000</v>
      </c>
      <c r="N27" s="49"/>
      <c r="O27" s="63" t="s">
        <v>165</v>
      </c>
      <c r="P27" s="38"/>
      <c r="Q27" s="50">
        <f t="shared" ref="Q27" si="10">P27*N27</f>
        <v>0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500</v>
      </c>
      <c r="N28" s="37"/>
      <c r="O28" s="64" t="s">
        <v>165</v>
      </c>
      <c r="P28" s="50"/>
      <c r="Q28" s="38">
        <f>P28*N28</f>
        <v>0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500</v>
      </c>
      <c r="N29" s="49"/>
      <c r="O29" s="63" t="s">
        <v>165</v>
      </c>
      <c r="P29" s="38"/>
      <c r="Q29" s="50">
        <f t="shared" ref="Q29" si="11">P29*N29</f>
        <v>0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1"/>
        <v>1500</v>
      </c>
      <c r="N30" s="37"/>
      <c r="O30" s="64" t="s">
        <v>165</v>
      </c>
      <c r="P30" s="50"/>
      <c r="Q30" s="38">
        <f>P30*N30</f>
        <v>0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2000</v>
      </c>
      <c r="N31" s="49"/>
      <c r="O31" s="60" t="s">
        <v>160</v>
      </c>
      <c r="P31" s="60"/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1000</v>
      </c>
      <c r="N32" s="37"/>
      <c r="O32" s="64" t="s">
        <v>165</v>
      </c>
      <c r="P32" s="50"/>
      <c r="Q32" s="76">
        <f>P32*N32</f>
        <v>0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1500</v>
      </c>
      <c r="N33" s="71"/>
      <c r="O33" s="63" t="s">
        <v>165</v>
      </c>
      <c r="P33" s="38"/>
      <c r="Q33" s="74">
        <f>P33*N33</f>
        <v>0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1"/>
        <v>1000</v>
      </c>
      <c r="N34" s="37"/>
      <c r="O34" s="63" t="s">
        <v>165</v>
      </c>
      <c r="P34" s="38"/>
      <c r="Q34" s="38">
        <f>P34*N34</f>
        <v>0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"/>
        <v>500</v>
      </c>
      <c r="N35" s="49"/>
      <c r="O35" s="63" t="s">
        <v>165</v>
      </c>
      <c r="P35" s="38"/>
      <c r="Q35" s="50">
        <f t="shared" ref="Q35" si="13">P35*N35</f>
        <v>0</v>
      </c>
      <c r="R35" s="49"/>
      <c r="S35" s="56"/>
    </row>
    <row r="36" spans="1:19" s="59" customFormat="1" x14ac:dyDescent="0.25">
      <c r="A36" s="57"/>
      <c r="B36" s="47">
        <f t="shared" ref="B36" si="14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1"/>
        <v>500</v>
      </c>
      <c r="N36" s="37"/>
      <c r="O36" s="64" t="s">
        <v>165</v>
      </c>
      <c r="P36" s="50"/>
      <c r="Q36" s="38">
        <f>P36*N36</f>
        <v>0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"/>
        <v>500</v>
      </c>
      <c r="N37" s="49"/>
      <c r="O37" s="63" t="s">
        <v>165</v>
      </c>
      <c r="P37" s="38"/>
      <c r="Q37" s="50">
        <f t="shared" ref="Q37" si="15">P37*N37</f>
        <v>0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"/>
        <v>4000</v>
      </c>
      <c r="N38" s="37"/>
      <c r="O38" s="63" t="s">
        <v>165</v>
      </c>
      <c r="P38" s="38"/>
      <c r="Q38" s="38">
        <f>P38*N38</f>
        <v>0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"/>
        <v>500</v>
      </c>
      <c r="N39" s="49"/>
      <c r="O39" s="63" t="s">
        <v>165</v>
      </c>
      <c r="P39" s="38"/>
      <c r="Q39" s="50">
        <f t="shared" ref="Q39" si="16">P39*N39</f>
        <v>0</v>
      </c>
      <c r="R39" s="49"/>
      <c r="S39" s="56"/>
    </row>
    <row r="40" spans="1:19" s="59" customFormat="1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 t="shared" si="1"/>
        <v>1500</v>
      </c>
      <c r="N40" s="37"/>
      <c r="O40" s="64" t="s">
        <v>165</v>
      </c>
      <c r="P40" s="50"/>
      <c r="Q40" s="38">
        <f>P40*N40</f>
        <v>0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 t="shared" si="1"/>
        <v>1500</v>
      </c>
      <c r="N41" s="71"/>
      <c r="O41" s="63" t="s">
        <v>165</v>
      </c>
      <c r="P41" s="38"/>
      <c r="Q41" s="50">
        <f>P41*N41</f>
        <v>0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1000</v>
      </c>
      <c r="N42" s="37"/>
      <c r="O42" s="63" t="s">
        <v>165</v>
      </c>
      <c r="P42" s="38"/>
      <c r="Q42" s="77">
        <f>P42*N42</f>
        <v>0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1"/>
        <v>1000</v>
      </c>
      <c r="N43" s="37"/>
      <c r="O43" s="64" t="s">
        <v>165</v>
      </c>
      <c r="P43" s="50"/>
      <c r="Q43" s="38">
        <f>P43*N43</f>
        <v>0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1"/>
        <v>1500</v>
      </c>
      <c r="N44" s="49"/>
      <c r="O44" s="63" t="s">
        <v>165</v>
      </c>
      <c r="P44" s="38"/>
      <c r="Q44" s="50">
        <f t="shared" ref="Q44:Q45" si="17">P44*N44</f>
        <v>0</v>
      </c>
      <c r="R44" s="49"/>
      <c r="S44" s="56"/>
    </row>
    <row r="45" spans="1:19" s="59" customFormat="1" x14ac:dyDescent="0.25">
      <c r="A45" s="57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 t="shared" si="1"/>
        <v>500</v>
      </c>
      <c r="N45" s="49"/>
      <c r="O45" s="63" t="s">
        <v>165</v>
      </c>
      <c r="P45" s="38"/>
      <c r="Q45" s="50">
        <f t="shared" si="17"/>
        <v>0</v>
      </c>
      <c r="R45" s="49"/>
      <c r="S45" s="56"/>
    </row>
    <row r="46" spans="1:19" s="59" customFormat="1" ht="25.5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5000</v>
      </c>
      <c r="N46" s="37"/>
      <c r="O46" s="60" t="s">
        <v>160</v>
      </c>
      <c r="P46" s="60"/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500</v>
      </c>
      <c r="N47" s="49"/>
      <c r="O47" s="63" t="s">
        <v>165</v>
      </c>
      <c r="P47" s="38"/>
      <c r="Q47" s="50">
        <f t="shared" ref="Q47" si="18">P47*N47</f>
        <v>0</v>
      </c>
      <c r="R47" s="49"/>
      <c r="S47" s="56"/>
    </row>
    <row r="48" spans="1:19" s="59" customFormat="1" ht="25.5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2000</v>
      </c>
      <c r="N48" s="37"/>
      <c r="O48" s="63" t="s">
        <v>165</v>
      </c>
      <c r="P48" s="38"/>
      <c r="Q48" s="75">
        <f>P48*N48</f>
        <v>0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500</v>
      </c>
      <c r="N49" s="37"/>
      <c r="O49" s="63" t="s">
        <v>165</v>
      </c>
      <c r="P49" s="38"/>
      <c r="Q49" s="38">
        <f>P49*N49</f>
        <v>0</v>
      </c>
      <c r="R49" s="37"/>
      <c r="S49" s="56"/>
    </row>
    <row r="50" spans="1:19" s="59" customFormat="1" ht="24" x14ac:dyDescent="0.25">
      <c r="A50" s="57"/>
      <c r="B50" s="47">
        <f t="shared" ref="B50:B52" si="19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1"/>
        <v>500</v>
      </c>
      <c r="N50" s="49"/>
      <c r="O50" s="64" t="s">
        <v>165</v>
      </c>
      <c r="P50" s="50"/>
      <c r="Q50" s="50">
        <f t="shared" ref="Q50" si="20">P50*N50</f>
        <v>0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1"/>
        <v>500</v>
      </c>
      <c r="N51" s="37"/>
      <c r="O51" s="63" t="s">
        <v>165</v>
      </c>
      <c r="P51" s="38"/>
      <c r="Q51" s="38">
        <f>P51*N51</f>
        <v>0</v>
      </c>
      <c r="R51" s="37"/>
      <c r="S51" s="56"/>
    </row>
    <row r="52" spans="1:19" s="59" customFormat="1" ht="36" x14ac:dyDescent="0.25">
      <c r="A52" s="57"/>
      <c r="B52" s="47">
        <f t="shared" si="19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1"/>
        <v>500</v>
      </c>
      <c r="N52" s="49"/>
      <c r="O52" s="64" t="s">
        <v>165</v>
      </c>
      <c r="P52" s="50"/>
      <c r="Q52" s="50">
        <f t="shared" ref="Q52" si="21">P52*N52</f>
        <v>0</v>
      </c>
      <c r="R52" s="49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500</v>
      </c>
      <c r="N53" s="37"/>
      <c r="O53" s="64" t="s">
        <v>165</v>
      </c>
      <c r="P53" s="50"/>
      <c r="Q53" s="38">
        <f>P53*N53</f>
        <v>0</v>
      </c>
      <c r="R53" s="37"/>
      <c r="S53" s="56"/>
    </row>
    <row r="54" spans="1:19" s="59" customFormat="1" ht="36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1"/>
        <v>500</v>
      </c>
      <c r="N54" s="49"/>
      <c r="O54" s="64" t="s">
        <v>165</v>
      </c>
      <c r="P54" s="50"/>
      <c r="Q54" s="50">
        <f t="shared" ref="Q54" si="22">P54*N54</f>
        <v>0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1"/>
        <v>500</v>
      </c>
      <c r="N55" s="37"/>
      <c r="O55" s="63" t="s">
        <v>165</v>
      </c>
      <c r="P55" s="38"/>
      <c r="Q55" s="38">
        <f>P55*N55</f>
        <v>0</v>
      </c>
      <c r="R55" s="37"/>
      <c r="S55" s="56"/>
    </row>
    <row r="56" spans="1:19" s="59" customFormat="1" ht="24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1"/>
        <v>500</v>
      </c>
      <c r="N56" s="49"/>
      <c r="O56" s="64" t="s">
        <v>165</v>
      </c>
      <c r="P56" s="50"/>
      <c r="Q56" s="50">
        <f t="shared" ref="Q56" si="23">P56*N56</f>
        <v>0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1"/>
        <v>500</v>
      </c>
      <c r="N57" s="37"/>
      <c r="O57" s="63" t="s">
        <v>165</v>
      </c>
      <c r="P57" s="38"/>
      <c r="Q57" s="38">
        <f>P57*N57</f>
        <v>0</v>
      </c>
      <c r="R57" s="37"/>
      <c r="S57" s="56"/>
    </row>
    <row r="58" spans="1:19" s="59" customFormat="1" ht="48.75" thickBot="1" x14ac:dyDescent="0.3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1"/>
        <v>500</v>
      </c>
      <c r="N58" s="49"/>
      <c r="O58" s="64" t="s">
        <v>177</v>
      </c>
      <c r="P58" s="50"/>
      <c r="Q58" s="50">
        <f t="shared" ref="Q58" si="24">P58*N58</f>
        <v>0</v>
      </c>
      <c r="R58" s="49"/>
      <c r="S58" s="56"/>
    </row>
    <row r="59" spans="1:19" ht="19.5" thickBot="1" x14ac:dyDescent="0.3">
      <c r="A59" s="1"/>
      <c r="B59" s="40"/>
      <c r="C59" s="41"/>
      <c r="D59" s="42"/>
      <c r="E59" s="43"/>
      <c r="F59" s="44"/>
      <c r="G59" s="45"/>
      <c r="H59" s="44"/>
      <c r="I59" s="45"/>
      <c r="J59" s="44"/>
      <c r="K59" s="45"/>
      <c r="L59" s="45"/>
      <c r="M59" s="45"/>
      <c r="N59" s="78" t="s">
        <v>5</v>
      </c>
      <c r="O59" s="79"/>
      <c r="P59" s="79"/>
      <c r="Q59" s="48">
        <f>SUM(Q10:Q58)</f>
        <v>0</v>
      </c>
      <c r="R59" s="45"/>
      <c r="S59" s="45"/>
    </row>
    <row r="60" spans="1:19" ht="19.5" thickBot="1" x14ac:dyDescent="0.3">
      <c r="A60" s="57"/>
      <c r="B60" s="25"/>
      <c r="C60" s="36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78" t="s">
        <v>6</v>
      </c>
      <c r="O60" s="79"/>
      <c r="P60" s="79"/>
      <c r="Q60" s="48">
        <f>Q59/5</f>
        <v>0</v>
      </c>
      <c r="R60" s="10"/>
      <c r="S60" s="10"/>
    </row>
  </sheetData>
  <mergeCells count="4">
    <mergeCell ref="K1:S1"/>
    <mergeCell ref="S3:S8"/>
    <mergeCell ref="N59:P59"/>
    <mergeCell ref="N60:P60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</hyperlinks>
  <pageMargins left="0.7" right="0.7" top="0.75" bottom="0.75" header="0.3" footer="0.3"/>
  <drawing r:id="rId4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0"/>
  <sheetViews>
    <sheetView workbookViewId="0">
      <selection activeCell="J1" sqref="J1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9.140625" customWidth="1"/>
    <col min="6" max="6" width="22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8.5703125" bestFit="1" customWidth="1"/>
    <col min="16" max="16" width="21.85546875" bestFit="1" customWidth="1"/>
    <col min="17" max="17" width="22.42578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0"/>
      <c r="L1" s="80"/>
      <c r="M1" s="80"/>
      <c r="N1" s="80"/>
      <c r="O1" s="80"/>
      <c r="P1" s="80"/>
      <c r="Q1" s="80"/>
      <c r="R1" s="80"/>
      <c r="S1" s="81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2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3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3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324</v>
      </c>
      <c r="N9" s="30" t="s">
        <v>325</v>
      </c>
      <c r="O9" s="30" t="s">
        <v>156</v>
      </c>
      <c r="P9" s="30" t="s">
        <v>326</v>
      </c>
      <c r="Q9" s="30" t="s">
        <v>327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58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</f>
        <v>30</v>
      </c>
      <c r="N10" s="37">
        <v>40</v>
      </c>
      <c r="O10" s="64" t="s">
        <v>165</v>
      </c>
      <c r="P10" s="50">
        <v>3.9300000000000002E-2</v>
      </c>
      <c r="Q10" s="38">
        <f>P10*N10</f>
        <v>1.5720000000000001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>L11*5</f>
        <v>75</v>
      </c>
      <c r="N11" s="49">
        <v>100</v>
      </c>
      <c r="O11" s="64" t="s">
        <v>165</v>
      </c>
      <c r="P11" s="50">
        <v>1.9E-3</v>
      </c>
      <c r="Q11" s="50">
        <f t="shared" ref="Q11" si="1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ref="M12:M58" si="2">L12*5</f>
        <v>20</v>
      </c>
      <c r="N12" s="37">
        <v>50</v>
      </c>
      <c r="O12" s="63" t="s">
        <v>165</v>
      </c>
      <c r="P12" s="38">
        <v>1.5599999999999999E-2</v>
      </c>
      <c r="Q12" s="38">
        <f>P12*N12</f>
        <v>0.77999999999999992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2"/>
        <v>10</v>
      </c>
      <c r="N13" s="37">
        <v>100</v>
      </c>
      <c r="O13" s="64" t="s">
        <v>165</v>
      </c>
      <c r="P13" s="50">
        <v>2.7000000000000001E-3</v>
      </c>
      <c r="Q13" s="38">
        <f>P13*N13</f>
        <v>0.27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2"/>
        <v>25</v>
      </c>
      <c r="N14" s="49">
        <v>100</v>
      </c>
      <c r="O14" s="64" t="s">
        <v>165</v>
      </c>
      <c r="P14" s="50">
        <v>5.1999999999999998E-3</v>
      </c>
      <c r="Q14" s="50">
        <f t="shared" ref="Q14" si="4">P14*N14</f>
        <v>0.52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2"/>
        <v>10</v>
      </c>
      <c r="N15" s="37">
        <v>20</v>
      </c>
      <c r="O15" s="64" t="s">
        <v>165</v>
      </c>
      <c r="P15" s="50">
        <v>3.5700000000000003E-2</v>
      </c>
      <c r="Q15" s="38">
        <f>P15*N15</f>
        <v>0.71400000000000008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2"/>
        <v>5</v>
      </c>
      <c r="N16" s="49">
        <v>100</v>
      </c>
      <c r="O16" s="64" t="s">
        <v>165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2"/>
        <v>5</v>
      </c>
      <c r="N17" s="37">
        <v>10</v>
      </c>
      <c r="O17" s="63" t="s">
        <v>165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2"/>
        <v>10</v>
      </c>
      <c r="N18" s="37">
        <v>20</v>
      </c>
      <c r="O18" s="64" t="s">
        <v>165</v>
      </c>
      <c r="P18" s="50">
        <v>4.48E-2</v>
      </c>
      <c r="Q18" s="38">
        <f>P18*N18</f>
        <v>0.89600000000000002</v>
      </c>
      <c r="R18" s="37"/>
      <c r="S18" s="56"/>
    </row>
    <row r="19" spans="1:19" s="59" customFormat="1" ht="24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2"/>
        <v>5</v>
      </c>
      <c r="N19" s="49">
        <v>10</v>
      </c>
      <c r="O19" s="63" t="s">
        <v>165</v>
      </c>
      <c r="P19" s="38">
        <v>9.5100000000000004E-2</v>
      </c>
      <c r="Q19" s="50">
        <f t="shared" ref="Q19" si="6">P19*N19</f>
        <v>0.95100000000000007</v>
      </c>
      <c r="R19" s="49"/>
      <c r="S19" s="56"/>
    </row>
    <row r="20" spans="1:19" s="59" customFormat="1" x14ac:dyDescent="0.25">
      <c r="A20" s="57"/>
      <c r="B20" s="46">
        <f t="shared" si="0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2"/>
        <v>15</v>
      </c>
      <c r="N20" s="37">
        <v>20</v>
      </c>
      <c r="O20" s="63" t="s">
        <v>165</v>
      </c>
      <c r="P20" s="38">
        <v>3.2199999999999999E-2</v>
      </c>
      <c r="Q20" s="38">
        <f>P20*N20</f>
        <v>0.64400000000000002</v>
      </c>
      <c r="R20" s="37"/>
      <c r="S20" s="56"/>
    </row>
    <row r="21" spans="1:19" s="59" customFormat="1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2"/>
        <v>5</v>
      </c>
      <c r="N21" s="49">
        <v>10</v>
      </c>
      <c r="O21" s="63" t="s">
        <v>165</v>
      </c>
      <c r="P21" s="38">
        <v>9.5000000000000001E-2</v>
      </c>
      <c r="Q21" s="50">
        <f t="shared" ref="Q21" si="7">P21*N21</f>
        <v>0.95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2"/>
        <v>5</v>
      </c>
      <c r="N22" s="37">
        <v>20</v>
      </c>
      <c r="O22" s="64" t="s">
        <v>165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5.5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2"/>
        <v>5</v>
      </c>
      <c r="N23" s="49">
        <v>10</v>
      </c>
      <c r="O23" s="63" t="s">
        <v>165</v>
      </c>
      <c r="P23" s="38">
        <v>0.21740000000000001</v>
      </c>
      <c r="Q23" s="50">
        <f t="shared" ref="Q23" si="8">P23*N23</f>
        <v>2.1739999999999999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2"/>
        <v>5</v>
      </c>
      <c r="N24" s="37">
        <v>12</v>
      </c>
      <c r="O24" s="63" t="s">
        <v>165</v>
      </c>
      <c r="P24" s="38">
        <v>7.1999999999999995E-2</v>
      </c>
      <c r="Q24" s="38">
        <f>P24*N24</f>
        <v>0.86399999999999988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2"/>
        <v>5</v>
      </c>
      <c r="N25" s="49">
        <v>20</v>
      </c>
      <c r="O25" s="63" t="s">
        <v>165</v>
      </c>
      <c r="P25" s="38">
        <v>2.46E-2</v>
      </c>
      <c r="Q25" s="50">
        <f t="shared" ref="Q25" si="9">P25*N25</f>
        <v>0.49199999999999999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2"/>
        <v>5</v>
      </c>
      <c r="N26" s="37">
        <v>10</v>
      </c>
      <c r="O26" s="64" t="s">
        <v>165</v>
      </c>
      <c r="P26" s="50">
        <v>4.07E-2</v>
      </c>
      <c r="Q26" s="38">
        <f>P26*N26</f>
        <v>0.40700000000000003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2"/>
        <v>10</v>
      </c>
      <c r="N27" s="49">
        <v>11</v>
      </c>
      <c r="O27" s="63" t="s">
        <v>165</v>
      </c>
      <c r="P27" s="38">
        <v>0.50119999999999998</v>
      </c>
      <c r="Q27" s="50">
        <f t="shared" ref="Q27" si="10">P27*N27</f>
        <v>5.5131999999999994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2"/>
        <v>5</v>
      </c>
      <c r="N28" s="37">
        <v>20</v>
      </c>
      <c r="O28" s="64" t="s">
        <v>165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2"/>
        <v>5</v>
      </c>
      <c r="N29" s="49">
        <v>20</v>
      </c>
      <c r="O29" s="63" t="s">
        <v>165</v>
      </c>
      <c r="P29" s="38">
        <v>2.3300000000000001E-2</v>
      </c>
      <c r="Q29" s="50">
        <f t="shared" ref="Q29" si="11">P29*N29</f>
        <v>0.46600000000000003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2"/>
        <v>15</v>
      </c>
      <c r="N30" s="37">
        <v>20</v>
      </c>
      <c r="O30" s="64" t="s">
        <v>165</v>
      </c>
      <c r="P30" s="50">
        <v>7.1300000000000002E-2</v>
      </c>
      <c r="Q30" s="38">
        <f>P30*N30</f>
        <v>1.4260000000000002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2"/>
        <v>20</v>
      </c>
      <c r="N31" s="49">
        <v>12</v>
      </c>
      <c r="O31" s="60" t="s">
        <v>160</v>
      </c>
      <c r="P31" s="60" t="s">
        <v>160</v>
      </c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2"/>
        <v>10</v>
      </c>
      <c r="N32" s="37">
        <v>20</v>
      </c>
      <c r="O32" s="64" t="s">
        <v>165</v>
      </c>
      <c r="P32" s="50">
        <v>4.6899999999999997E-2</v>
      </c>
      <c r="Q32" s="76">
        <f>P32*N32</f>
        <v>0.93799999999999994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2"/>
        <v>15</v>
      </c>
      <c r="N33" s="71">
        <v>20</v>
      </c>
      <c r="O33" s="63" t="s">
        <v>165</v>
      </c>
      <c r="P33" s="38">
        <v>3.3500000000000002E-2</v>
      </c>
      <c r="Q33" s="74">
        <f>P33*N33</f>
        <v>0.67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2"/>
        <v>10</v>
      </c>
      <c r="N34" s="37">
        <v>100</v>
      </c>
      <c r="O34" s="63" t="s">
        <v>165</v>
      </c>
      <c r="P34" s="38">
        <v>1.1999999999999999E-3</v>
      </c>
      <c r="Q34" s="38">
        <f>P34*N34</f>
        <v>0.12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2"/>
        <v>5</v>
      </c>
      <c r="N35" s="49">
        <v>100</v>
      </c>
      <c r="O35" s="63" t="s">
        <v>165</v>
      </c>
      <c r="P35" s="38">
        <v>1.1999999999999999E-3</v>
      </c>
      <c r="Q35" s="50">
        <f t="shared" ref="Q35" si="13">P35*N35</f>
        <v>0.12</v>
      </c>
      <c r="R35" s="49"/>
      <c r="S35" s="56"/>
    </row>
    <row r="36" spans="1:19" s="59" customFormat="1" x14ac:dyDescent="0.25">
      <c r="A36" s="57"/>
      <c r="B36" s="47">
        <f t="shared" ref="B36" si="14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2"/>
        <v>5</v>
      </c>
      <c r="N36" s="37">
        <v>100</v>
      </c>
      <c r="O36" s="64" t="s">
        <v>165</v>
      </c>
      <c r="P36" s="50">
        <v>1.1000000000000001E-3</v>
      </c>
      <c r="Q36" s="38">
        <f>P36*N36</f>
        <v>0.11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2"/>
        <v>5</v>
      </c>
      <c r="N37" s="49">
        <v>100</v>
      </c>
      <c r="O37" s="63" t="s">
        <v>165</v>
      </c>
      <c r="P37" s="38">
        <v>1E-3</v>
      </c>
      <c r="Q37" s="50">
        <f t="shared" ref="Q37" si="15">P37*N37</f>
        <v>0.1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2"/>
        <v>40</v>
      </c>
      <c r="N38" s="37">
        <v>100</v>
      </c>
      <c r="O38" s="63" t="s">
        <v>165</v>
      </c>
      <c r="P38" s="38">
        <v>1E-3</v>
      </c>
      <c r="Q38" s="38">
        <f>P38*N38</f>
        <v>0.1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2"/>
        <v>5</v>
      </c>
      <c r="N39" s="49">
        <v>10</v>
      </c>
      <c r="O39" s="63" t="s">
        <v>165</v>
      </c>
      <c r="P39" s="38">
        <v>5.0000000000000001E-4</v>
      </c>
      <c r="Q39" s="50">
        <f t="shared" ref="Q39" si="16">P39*N39</f>
        <v>5.0000000000000001E-3</v>
      </c>
      <c r="R39" s="49"/>
      <c r="S39" s="56"/>
    </row>
    <row r="40" spans="1:19" s="59" customFormat="1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>L40*5</f>
        <v>15</v>
      </c>
      <c r="N40" s="37">
        <v>20</v>
      </c>
      <c r="O40" s="64" t="s">
        <v>165</v>
      </c>
      <c r="P40" s="50">
        <v>2.98E-2</v>
      </c>
      <c r="Q40" s="38">
        <f>P40*N40</f>
        <v>0.59599999999999997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>L41*5</f>
        <v>15</v>
      </c>
      <c r="N41" s="71">
        <v>100</v>
      </c>
      <c r="O41" s="63" t="s">
        <v>165</v>
      </c>
      <c r="P41" s="38">
        <v>1.1000000000000001E-3</v>
      </c>
      <c r="Q41" s="50">
        <f>P41*N41</f>
        <v>0.11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2"/>
        <v>10</v>
      </c>
      <c r="N42" s="37">
        <v>100</v>
      </c>
      <c r="O42" s="63" t="s">
        <v>165</v>
      </c>
      <c r="P42" s="38">
        <v>1.1000000000000001E-3</v>
      </c>
      <c r="Q42" s="77">
        <f>P42*N42</f>
        <v>0.11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2"/>
        <v>10</v>
      </c>
      <c r="N43" s="37">
        <v>100</v>
      </c>
      <c r="O43" s="64" t="s">
        <v>165</v>
      </c>
      <c r="P43" s="50">
        <v>1.2999999999999999E-3</v>
      </c>
      <c r="Q43" s="38">
        <f>P43*N43</f>
        <v>0.13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2"/>
        <v>15</v>
      </c>
      <c r="N44" s="49">
        <v>100</v>
      </c>
      <c r="O44" s="63" t="s">
        <v>165</v>
      </c>
      <c r="P44" s="38">
        <v>1.1000000000000001E-3</v>
      </c>
      <c r="Q44" s="50">
        <f t="shared" ref="Q44:Q45" si="17">P44*N44</f>
        <v>0.11</v>
      </c>
      <c r="R44" s="49"/>
      <c r="S44" s="56"/>
    </row>
    <row r="45" spans="1:19" s="59" customFormat="1" x14ac:dyDescent="0.25">
      <c r="A45" s="57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49">
        <f t="shared" si="2"/>
        <v>5</v>
      </c>
      <c r="N45" s="49">
        <v>100</v>
      </c>
      <c r="O45" s="63" t="s">
        <v>165</v>
      </c>
      <c r="P45" s="38">
        <v>1.4E-3</v>
      </c>
      <c r="Q45" s="50">
        <f t="shared" si="17"/>
        <v>0.13999999999999999</v>
      </c>
      <c r="R45" s="49"/>
      <c r="S45" s="56"/>
    </row>
    <row r="46" spans="1:19" s="59" customFormat="1" ht="24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2"/>
        <v>50</v>
      </c>
      <c r="N46" s="37">
        <v>100</v>
      </c>
      <c r="O46" s="60" t="s">
        <v>160</v>
      </c>
      <c r="P46" s="60" t="s">
        <v>160</v>
      </c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2"/>
        <v>5</v>
      </c>
      <c r="N47" s="49">
        <v>20</v>
      </c>
      <c r="O47" s="63" t="s">
        <v>165</v>
      </c>
      <c r="P47" s="38">
        <v>2.1499999999999998E-2</v>
      </c>
      <c r="Q47" s="50">
        <f t="shared" ref="Q47" si="18">P47*N47</f>
        <v>0.42999999999999994</v>
      </c>
      <c r="R47" s="49"/>
      <c r="S47" s="56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>L48*5</f>
        <v>20</v>
      </c>
      <c r="N48" s="37">
        <v>30</v>
      </c>
      <c r="O48" s="63" t="s">
        <v>165</v>
      </c>
      <c r="P48" s="38">
        <v>5.3499999999999999E-2</v>
      </c>
      <c r="Q48" s="75">
        <f>P48*N48</f>
        <v>1.605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2"/>
        <v>5</v>
      </c>
      <c r="N49" s="37">
        <v>10</v>
      </c>
      <c r="O49" s="63" t="s">
        <v>165</v>
      </c>
      <c r="P49" s="38">
        <v>4.2799999999999998E-2</v>
      </c>
      <c r="Q49" s="38">
        <f>P49*N49</f>
        <v>0.42799999999999999</v>
      </c>
      <c r="R49" s="37"/>
      <c r="S49" s="56"/>
    </row>
    <row r="50" spans="1:19" s="59" customFormat="1" ht="24" x14ac:dyDescent="0.25">
      <c r="A50" s="57"/>
      <c r="B50" s="47">
        <f t="shared" ref="B50:B52" si="19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2"/>
        <v>5</v>
      </c>
      <c r="N50" s="49">
        <v>10</v>
      </c>
      <c r="O50" s="64" t="s">
        <v>165</v>
      </c>
      <c r="P50" s="50">
        <v>0.17979999999999999</v>
      </c>
      <c r="Q50" s="50">
        <f t="shared" ref="Q50" si="20">P50*N50</f>
        <v>1.7979999999999998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2"/>
        <v>5</v>
      </c>
      <c r="N51" s="37">
        <v>6</v>
      </c>
      <c r="O51" s="63" t="s">
        <v>165</v>
      </c>
      <c r="P51" s="38">
        <v>0.55530000000000002</v>
      </c>
      <c r="Q51" s="38">
        <f>P51*N51</f>
        <v>3.3318000000000003</v>
      </c>
      <c r="R51" s="37"/>
      <c r="S51" s="56"/>
    </row>
    <row r="52" spans="1:19" s="59" customFormat="1" ht="36" x14ac:dyDescent="0.25">
      <c r="A52" s="57"/>
      <c r="B52" s="47">
        <f t="shared" si="19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2"/>
        <v>5</v>
      </c>
      <c r="N52" s="49">
        <v>6</v>
      </c>
      <c r="O52" s="64" t="s">
        <v>165</v>
      </c>
      <c r="P52" s="50">
        <v>0.63639999999999997</v>
      </c>
      <c r="Q52" s="50">
        <f t="shared" ref="Q52" si="21">P52*N52</f>
        <v>3.8183999999999996</v>
      </c>
      <c r="R52" s="49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2"/>
        <v>5</v>
      </c>
      <c r="N53" s="37">
        <v>6</v>
      </c>
      <c r="O53" s="64" t="s">
        <v>165</v>
      </c>
      <c r="P53" s="50">
        <v>3.2519</v>
      </c>
      <c r="Q53" s="38">
        <f>P53*N53</f>
        <v>19.511400000000002</v>
      </c>
      <c r="R53" s="37"/>
      <c r="S53" s="56"/>
    </row>
    <row r="54" spans="1:19" s="59" customFormat="1" ht="36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2"/>
        <v>5</v>
      </c>
      <c r="N54" s="49">
        <v>10</v>
      </c>
      <c r="O54" s="64" t="s">
        <v>165</v>
      </c>
      <c r="P54" s="50">
        <v>0.16209999999999999</v>
      </c>
      <c r="Q54" s="50">
        <f t="shared" ref="Q54" si="22">P54*N54</f>
        <v>1.621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2"/>
        <v>5</v>
      </c>
      <c r="N55" s="37">
        <v>6</v>
      </c>
      <c r="O55" s="63" t="s">
        <v>165</v>
      </c>
      <c r="P55" s="38">
        <v>1.2776000000000001</v>
      </c>
      <c r="Q55" s="38">
        <f>P55*N55</f>
        <v>7.6656000000000004</v>
      </c>
      <c r="R55" s="37"/>
      <c r="S55" s="56"/>
    </row>
    <row r="56" spans="1:19" s="59" customFormat="1" ht="24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2"/>
        <v>5</v>
      </c>
      <c r="N56" s="49">
        <v>6</v>
      </c>
      <c r="O56" s="64" t="s">
        <v>165</v>
      </c>
      <c r="P56" s="50">
        <v>0.11070000000000001</v>
      </c>
      <c r="Q56" s="50">
        <f t="shared" ref="Q56" si="23">P56*N56</f>
        <v>0.66420000000000001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2"/>
        <v>5</v>
      </c>
      <c r="N57" s="37">
        <v>6</v>
      </c>
      <c r="O57" s="63" t="s">
        <v>165</v>
      </c>
      <c r="P57" s="38">
        <v>0.84799999999999998</v>
      </c>
      <c r="Q57" s="38">
        <f>P57*N57</f>
        <v>5.0880000000000001</v>
      </c>
      <c r="R57" s="37"/>
      <c r="S57" s="56"/>
    </row>
    <row r="58" spans="1:19" s="59" customFormat="1" ht="48.75" thickBot="1" x14ac:dyDescent="0.3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2"/>
        <v>5</v>
      </c>
      <c r="N58" s="49">
        <v>5</v>
      </c>
      <c r="O58" s="64" t="s">
        <v>177</v>
      </c>
      <c r="P58" s="50">
        <v>3.28</v>
      </c>
      <c r="Q58" s="50">
        <f t="shared" ref="Q58" si="24">P58*N58</f>
        <v>16.399999999999999</v>
      </c>
      <c r="R58" s="49"/>
      <c r="S58" s="56"/>
    </row>
    <row r="59" spans="1:19" ht="19.5" thickBot="1" x14ac:dyDescent="0.3">
      <c r="A59" s="1"/>
      <c r="B59" s="40"/>
      <c r="C59" s="41"/>
      <c r="D59" s="42"/>
      <c r="E59" s="43"/>
      <c r="F59" s="44"/>
      <c r="G59" s="45"/>
      <c r="H59" s="44"/>
      <c r="I59" s="45"/>
      <c r="J59" s="44"/>
      <c r="K59" s="45"/>
      <c r="L59" s="45"/>
      <c r="M59" s="45"/>
      <c r="N59" s="78" t="s">
        <v>5</v>
      </c>
      <c r="O59" s="79"/>
      <c r="P59" s="79"/>
      <c r="Q59" s="48">
        <f>SUM(Q10:Q58)</f>
        <v>86.800600000000003</v>
      </c>
      <c r="R59" s="45"/>
      <c r="S59" s="45"/>
    </row>
    <row r="60" spans="1:19" ht="19.5" thickBot="1" x14ac:dyDescent="0.3">
      <c r="A60" s="57"/>
      <c r="B60" s="25"/>
      <c r="C60" s="36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78" t="s">
        <v>6</v>
      </c>
      <c r="O60" s="79"/>
      <c r="P60" s="79"/>
      <c r="Q60" s="48">
        <f>Q59/5</f>
        <v>17.360120000000002</v>
      </c>
      <c r="R60" s="10"/>
      <c r="S60" s="10"/>
    </row>
  </sheetData>
  <mergeCells count="4">
    <mergeCell ref="K1:S1"/>
    <mergeCell ref="S3:S8"/>
    <mergeCell ref="N59:P59"/>
    <mergeCell ref="N60:P60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</hyperlinks>
  <pageMargins left="0.7" right="0.7" top="0.75" bottom="0.75" header="0.3" footer="0.3"/>
  <drawing r:id="rId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 Boards</vt:lpstr>
      <vt:lpstr>5 Boards</vt:lpstr>
      <vt:lpstr>50 Boards</vt:lpstr>
      <vt:lpstr>500 Boards</vt:lpstr>
      <vt:lpstr>3000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2023-04-19T11:43:46Z</dcterms:modified>
</cp:coreProperties>
</file>